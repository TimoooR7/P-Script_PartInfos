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F:\2ème\P-Script_122\"/>
    </mc:Choice>
  </mc:AlternateContent>
  <bookViews>
    <workbookView xWindow="0" yWindow="0" windowWidth="28800" windowHeight="117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21" i="12"/>
  <c r="C20" i="12"/>
  <c r="C19" i="12"/>
  <c r="C18" i="12"/>
  <c r="C17" i="12"/>
  <c r="C16" i="12"/>
  <c r="C24" i="12"/>
  <c r="B36" i="12" l="1"/>
  <c r="C35" i="12"/>
  <c r="C34" i="12"/>
  <c r="C33" i="12"/>
  <c r="C32" i="12"/>
  <c r="C31" i="12"/>
  <c r="C30" i="12"/>
  <c r="C29" i="12"/>
  <c r="C28" i="12"/>
  <c r="C36" i="12"/>
  <c r="B48" i="12" l="1"/>
  <c r="C47" i="12"/>
  <c r="C46" i="12"/>
  <c r="C45" i="12"/>
  <c r="C44" i="12"/>
  <c r="C43" i="12"/>
  <c r="C42" i="12"/>
  <c r="C41" i="12"/>
  <c r="C40" i="12"/>
  <c r="C48" i="12"/>
  <c r="C10" i="15" l="1"/>
  <c r="C9" i="15"/>
  <c r="C8" i="15"/>
  <c r="C7" i="15"/>
  <c r="C6" i="15"/>
  <c r="C5" i="15"/>
  <c r="C4" i="15"/>
  <c r="C3" i="15"/>
  <c r="B11" i="15"/>
  <c r="C10" i="16"/>
  <c r="C9" i="16"/>
  <c r="C8" i="16"/>
  <c r="C7" i="16"/>
  <c r="C6" i="16"/>
  <c r="C5" i="16"/>
  <c r="C4" i="16"/>
  <c r="C3" i="16"/>
  <c r="B11" i="16"/>
  <c r="D22" i="1"/>
  <c r="D57" i="1"/>
  <c r="D41" i="1"/>
  <c r="D15" i="1"/>
  <c r="D93" i="1"/>
  <c r="D78" i="1"/>
  <c r="D85" i="1"/>
  <c r="D43" i="1"/>
  <c r="D29" i="1"/>
  <c r="D84" i="1"/>
  <c r="D52" i="1"/>
  <c r="D92" i="1"/>
  <c r="D74" i="1"/>
  <c r="D39" i="1"/>
  <c r="D48" i="1"/>
  <c r="D36" i="1"/>
  <c r="D40" i="1"/>
  <c r="D28" i="1"/>
  <c r="D47" i="1"/>
  <c r="D89" i="1"/>
  <c r="D71" i="1"/>
  <c r="D65" i="1"/>
  <c r="D82" i="1"/>
  <c r="D24" i="1"/>
  <c r="D83" i="1"/>
  <c r="D33" i="1"/>
  <c r="D25" i="1"/>
  <c r="D86" i="1"/>
  <c r="D91" i="1"/>
  <c r="D56" i="1"/>
  <c r="D46" i="1"/>
  <c r="D38" i="1"/>
  <c r="D80" i="1"/>
  <c r="D27" i="1"/>
  <c r="D76" i="1"/>
  <c r="D73" i="1"/>
  <c r="D59" i="1"/>
  <c r="D68" i="1"/>
  <c r="D26" i="1"/>
  <c r="D35" i="1"/>
  <c r="D77" i="1"/>
  <c r="D69" i="1"/>
  <c r="D62" i="1"/>
  <c r="D37" i="1"/>
  <c r="D19" i="1"/>
  <c r="D87" i="1"/>
  <c r="C11" i="15"/>
  <c r="D58" i="1"/>
  <c r="D61" i="1"/>
  <c r="D42" i="1"/>
  <c r="D16" i="1"/>
  <c r="D53" i="1"/>
  <c r="D32" i="1"/>
  <c r="D30" i="1"/>
  <c r="D63" i="1"/>
  <c r="D49" i="1"/>
  <c r="D72" i="1"/>
  <c r="D23" i="1"/>
  <c r="D18" i="1"/>
  <c r="D70" i="1"/>
  <c r="D55" i="1"/>
  <c r="D90" i="1"/>
  <c r="D31" i="1"/>
  <c r="D21" i="1"/>
  <c r="D60" i="1"/>
  <c r="D51" i="1"/>
  <c r="D79" i="1"/>
  <c r="D17" i="1"/>
  <c r="D88" i="1"/>
  <c r="D54" i="1"/>
  <c r="D75" i="1"/>
  <c r="D20" i="1"/>
  <c r="D44" i="1"/>
  <c r="D81" i="1"/>
  <c r="D50" i="1"/>
  <c r="D34" i="1"/>
  <c r="C11" i="16"/>
  <c r="D67" i="1"/>
  <c r="D94" i="1"/>
  <c r="D45" i="1"/>
  <c r="D64" i="1"/>
  <c r="D6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<sst xmlns="http://schemas.openxmlformats.org/spreadsheetml/2006/main" count="213" uniqueCount="65">
  <si>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</si>
  <si>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</si>
  <si>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</si>
  <si>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</si>
  <si>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</si>
  <si>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</si>
  <si>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</si>
  <si>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</si>
  <si>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</si>
  <si>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</si>
  <si>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</si>
  <si>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</si>
  <si>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</si>
  <si>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</si>
  <si>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</si>
  <si>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</si>
  <si>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</si>
  <si>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</si>
  <si>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</si>
  <si>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</si>
  <si>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</si>
  <si>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</si>
  <si>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</si>
  <si>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</si>
  <si>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</si>
  <si>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</si>
  <si>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</si>
  <si>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</si>
  <si>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</si>
  <si>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</si>
  <si>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</si>
  <si>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</si>
  <si>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</si>
  <si>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</si>
  <si>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</si>
  <si>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</si>
  <si>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</si>
  <si>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</si>
  <si>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</si>
  <si>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</si>
  <si>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</si>
  <si>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</si>
  <si>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</si>
  <si>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</si>
  <si>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</si>
  <si>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</si>
  <si>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</si>
  <si>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</si>
  <si>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</si>
  <si>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</si>
  <si>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Carte mentale</t>
  </si>
  <si>
    <t xml:space="preserve">Réfléchiir aux points qu'il faut documenter et puis les mettre sur la carte mentale (le fichier README.md sur github). </t>
  </si>
  <si>
    <t>Discussions</t>
  </si>
  <si>
    <t>Explication des projets par m. Meylan et des outils à utiliser pour le projet</t>
  </si>
  <si>
    <t>Scheduling</t>
  </si>
  <si>
    <t>J'apprends comment faire du scheduling en powershell grâce au support de cours et sites web. Je crée des tâches par ci par là</t>
  </si>
  <si>
    <t>Debut script</t>
  </si>
  <si>
    <t>Debut de la partie scheduling pour notre projet</t>
  </si>
  <si>
    <t xml:space="preserve">J'ai essayé de comprendre comment lancer la tâche planifiée. Dans le MMC ou dans le script? J'ai appris qu'on ne peut pas faire les deux donc je demande au client de planifier sa tâche dans le mmc </t>
  </si>
  <si>
    <t>Disk Info</t>
  </si>
  <si>
    <t>Meilleure optimisation du script qui récupère les informations des disques. Gestion de fichiers, erreurs sur la récupération des infos (division par 0)</t>
  </si>
  <si>
    <t>Erreurs</t>
  </si>
  <si>
    <t>Faire en sorte que les erreurs soient détectées et mises dans un fichier errors.log</t>
  </si>
  <si>
    <t>PartInfos</t>
  </si>
  <si>
    <t xml:space="preserve">Terminé le script. Terminé la gestion d'erreurs et le scheduling fonctionne sur nimporte quel PC.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</si>
</sst>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8">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18">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cellXfs>
  <cellStyles count="2">
    <cellStyle name="Lien hypertexte" xfId="1" builtinId="8"/>
    <cellStyle name="Normal" xfId="0" builtinId="0" customBuiltin="1"/>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70" t="s">
        <v>38</v>
      </c>
      <c r="C35" s="170"/>
      <c r="D35" s="170"/>
      <c r="E35" s="107" t="s">
        <v>47</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71" t="s">
        <v>39</v>
      </c>
      <c r="C37" s="171"/>
      <c r="D37" s="171"/>
      <c r="E37" s="109" t="s">
        <v>47</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34</v>
      </c>
      <c r="E39" s="140" t="s">
        <v>47</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GD99"/>
  <sheetViews>
    <sheetView showGridLines="0" zoomScale="70" zoomScaleNormal="70" zoomScaleSheetLayoutView="43" workbookViewId="0">
      <selection activeCell="EF19" sqref="EF19"/>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85" width="1.140625" style="3" customWidth="1"/>
    <col min="186" max="186" width="2.7109375" style="3" customWidth="1"/>
    <col min="187" max="16384" width="11.42578125" style="3"/>
  </cols>
  <sheetData>
    <row r="1" spans="1:186" ht="35.1" customHeight="1" x14ac:dyDescent="0.25">
      <c r="B1" s="95"/>
      <c r="C1" s="202" t="s">
        <v>35</v>
      </c>
      <c r="D1" s="202"/>
      <c r="E1" s="202"/>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93">
        <v>1</v>
      </c>
    </row>
    <row r="2" spans="1:1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90"/>
    </row>
    <row r="3" spans="1:186" ht="30" customHeight="1" x14ac:dyDescent="0.25">
      <c r="B3" s="96"/>
      <c r="C3" s="7" t="s">
        <v>0</v>
      </c>
      <c r="D3" s="141"/>
      <c r="E3" s="8" t="s">
        <v>13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90"/>
    </row>
    <row r="4" spans="1:186" ht="30" customHeight="1" x14ac:dyDescent="0.25">
      <c r="B4" s="96"/>
      <c r="C4" s="12" t="s">
        <v>6</v>
      </c>
      <c r="D4" s="142"/>
      <c r="E4" s="13" t="s">
        <v>14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90"/>
    </row>
    <row r="5" spans="1:186" ht="30" customHeight="1" x14ac:dyDescent="0.25">
      <c r="B5" s="96"/>
      <c r="C5" s="12" t="s">
        <v>1</v>
      </c>
      <c r="D5" s="142"/>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90"/>
    </row>
    <row r="6" spans="1:186" ht="30" customHeight="1" thickBot="1" x14ac:dyDescent="0.3">
      <c r="B6" s="96"/>
      <c r="C6" s="17" t="s">
        <v>2</v>
      </c>
      <c r="D6" s="143"/>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90"/>
    </row>
    <row r="7" spans="1:186" ht="20.100000000000001" customHeight="1" thickBot="1" x14ac:dyDescent="0.3">
      <c r="B7" s="96"/>
      <c r="C7" s="203"/>
      <c r="D7" s="203"/>
      <c r="E7" s="203"/>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90"/>
    </row>
    <row r="8" spans="1:186" ht="30" customHeight="1" x14ac:dyDescent="0.25">
      <c r="B8" s="96"/>
      <c r="C8" s="7" t="s">
        <v>3</v>
      </c>
      <c r="D8" s="141"/>
      <c r="E8" s="8" t="s">
        <v>15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90"/>
    </row>
    <row r="9" spans="1:186" ht="30" customHeight="1" x14ac:dyDescent="0.25">
      <c r="B9" s="96"/>
      <c r="C9" s="12" t="s">
        <v>22</v>
      </c>
      <c r="D9" s="142"/>
      <c r="E9" s="13" t="s">
        <v>26</v>
      </c>
      <c r="F9" s="14"/>
      <c r="G9" s="194" t="str">
        <f>E96</f>
        <v>0h</v>
      </c>
      <c r="H9" s="194"/>
      <c r="I9" s="194"/>
      <c r="J9" s="194"/>
      <c r="K9" s="194"/>
      <c r="L9" s="194"/>
      <c r="M9" s="194"/>
      <c r="N9" s="194"/>
      <c r="O9" s="194"/>
      <c r="P9" s="194"/>
      <c r="Q9" s="194"/>
      <c r="R9" s="194"/>
      <c r="S9" s="194"/>
      <c r="T9" s="194"/>
      <c r="U9" s="194"/>
      <c r="V9" s="119"/>
      <c r="W9" s="193" t="s">
        <v>27</v>
      </c>
      <c r="X9" s="193"/>
      <c r="Y9" s="193"/>
      <c r="Z9" s="193"/>
      <c r="AA9" s="193"/>
      <c r="AB9" s="193"/>
      <c r="AC9" s="193"/>
      <c r="AD9" s="193"/>
      <c r="AE9" s="193"/>
      <c r="AF9" s="193"/>
      <c r="AG9" s="193"/>
      <c r="AH9" s="194" t="str">
        <f>E98</f>
        <v>0h</v>
      </c>
      <c r="AI9" s="194"/>
      <c r="AJ9" s="194"/>
      <c r="AK9" s="194"/>
      <c r="AL9" s="194"/>
      <c r="AM9" s="194"/>
      <c r="AN9" s="194"/>
      <c r="AO9" s="194"/>
      <c r="AP9" s="194"/>
      <c r="AQ9" s="194"/>
      <c r="AR9" s="194"/>
      <c r="AS9" s="194"/>
      <c r="AT9" s="194"/>
      <c r="AU9" s="194"/>
      <c r="AV9" s="194"/>
      <c r="AW9" s="194"/>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90"/>
    </row>
    <row r="10" spans="1:18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95"/>
      <c r="BO10" s="195"/>
      <c r="BP10" s="195"/>
      <c r="BQ10" s="195"/>
      <c r="BR10" s="195"/>
      <c r="BS10" s="195"/>
      <c r="BT10" s="195"/>
      <c r="BU10" s="195"/>
      <c r="BV10" s="195"/>
      <c r="BW10" s="195"/>
      <c r="BX10" s="195"/>
      <c r="BY10" s="195"/>
      <c r="BZ10" s="195"/>
      <c r="CA10" s="195"/>
      <c r="CB10" s="195"/>
      <c r="CC10" s="195"/>
      <c r="CD10" s="195"/>
      <c r="CE10" s="195"/>
      <c r="CF10" s="195"/>
      <c r="CG10" s="195"/>
      <c r="CH10" s="195"/>
      <c r="CI10" s="195"/>
      <c r="CJ10" s="195"/>
      <c r="CK10" s="195"/>
      <c r="CL10" s="195"/>
      <c r="CM10" s="195"/>
      <c r="CN10" s="195"/>
      <c r="CO10" s="195"/>
      <c r="CP10" s="195"/>
      <c r="CQ10" s="92"/>
      <c r="CR10" s="188"/>
      <c r="CS10" s="188"/>
      <c r="CT10" s="188"/>
      <c r="CU10" s="188"/>
      <c r="CV10" s="188"/>
      <c r="CW10" s="188"/>
      <c r="CX10" s="188"/>
      <c r="CY10" s="188"/>
      <c r="CZ10" s="188"/>
      <c r="DA10" s="188"/>
      <c r="DB10" s="188"/>
      <c r="DC10" s="188"/>
      <c r="DD10" s="188"/>
      <c r="DE10" s="188"/>
      <c r="DF10" s="188"/>
      <c r="DG10" s="188"/>
      <c r="DH10" s="188"/>
      <c r="DI10" s="188"/>
      <c r="DJ10" s="188"/>
      <c r="DK10" s="188"/>
      <c r="DL10" s="188"/>
      <c r="DM10" s="188"/>
      <c r="DN10" s="188"/>
      <c r="DO10" s="188"/>
      <c r="DP10" s="188"/>
      <c r="DQ10" s="188"/>
      <c r="DR10" s="188"/>
      <c r="DS10" s="188"/>
      <c r="DT10" s="188"/>
      <c r="DU10" s="188"/>
      <c r="DV10" s="188"/>
      <c r="DW10" s="188"/>
      <c r="DX10" s="188"/>
      <c r="DY10" s="188"/>
      <c r="DZ10" s="188"/>
      <c r="EA10" s="188"/>
      <c r="EB10" s="188"/>
      <c r="EC10" s="188"/>
      <c r="ED10" s="188"/>
      <c r="EE10" s="188"/>
      <c r="EF10" s="188"/>
      <c r="EG10" s="188"/>
      <c r="EH10" s="188"/>
      <c r="EI10" s="188"/>
      <c r="EJ10" s="188"/>
      <c r="EK10" s="188"/>
      <c r="EL10" s="188"/>
      <c r="EM10" s="188"/>
      <c r="EN10" s="188"/>
      <c r="EO10" s="188"/>
      <c r="EP10" s="188"/>
      <c r="EQ10" s="188"/>
      <c r="ER10" s="188"/>
      <c r="ES10" s="188"/>
      <c r="ET10" s="188"/>
      <c r="EU10" s="188"/>
      <c r="EV10" s="188"/>
      <c r="EW10" s="188"/>
      <c r="EX10" s="188"/>
      <c r="EY10" s="188"/>
      <c r="EZ10" s="188"/>
      <c r="FA10" s="188"/>
      <c r="FB10" s="188"/>
      <c r="FC10" s="188"/>
      <c r="FD10" s="188"/>
      <c r="FE10" s="188"/>
      <c r="FF10" s="188"/>
      <c r="FG10" s="188"/>
      <c r="FH10" s="188"/>
      <c r="FI10" s="188"/>
      <c r="FJ10" s="188"/>
      <c r="FK10" s="188"/>
      <c r="FL10" s="188"/>
      <c r="FM10" s="188"/>
      <c r="FN10" s="188"/>
      <c r="FO10" s="188"/>
      <c r="FP10" s="188"/>
      <c r="FQ10" s="188"/>
      <c r="FR10" s="188"/>
      <c r="FS10" s="188"/>
      <c r="FT10" s="188"/>
      <c r="FU10" s="188"/>
      <c r="FV10" s="188"/>
      <c r="FW10" s="188"/>
      <c r="FX10" s="188"/>
      <c r="FY10" s="188"/>
      <c r="FZ10" s="188"/>
      <c r="GA10" s="188"/>
      <c r="GB10" s="188"/>
      <c r="GC10" s="188"/>
      <c r="GD10" s="90"/>
    </row>
    <row r="11" spans="1:186" ht="20.100000000000001" customHeight="1" x14ac:dyDescent="0.25">
      <c r="B11" s="96"/>
      <c r="C11" s="200"/>
      <c r="D11" s="200"/>
      <c r="E11" s="200"/>
      <c r="F11" s="192" t="s">
        <v>48</v>
      </c>
      <c r="G11" s="192"/>
      <c r="H11" s="192"/>
      <c r="I11" s="192"/>
      <c r="J11" s="192"/>
      <c r="K11" s="192"/>
      <c r="L11" s="192"/>
      <c r="M11" s="192"/>
      <c r="N11" s="192"/>
      <c r="O11" s="192"/>
      <c r="P11" s="192"/>
      <c r="Q11" s="192"/>
      <c r="R11" s="192"/>
      <c r="S11" s="192"/>
      <c r="T11" s="192"/>
      <c r="U11" s="192"/>
      <c r="V11" s="192"/>
      <c r="W11" s="192"/>
      <c r="X11" s="192"/>
      <c r="Y11" s="192"/>
      <c r="Z11" s="192"/>
      <c r="AA11" s="192"/>
      <c r="AB11" s="192"/>
      <c r="AC11" s="192"/>
      <c r="AD11" s="192"/>
      <c r="AE11" s="192"/>
      <c r="AF11" s="192"/>
      <c r="AG11" s="192"/>
      <c r="AH11" s="192"/>
      <c r="AI11" s="192"/>
      <c r="AJ11" s="192"/>
      <c r="AK11" s="192"/>
      <c r="AL11" s="192"/>
      <c r="AM11" s="192"/>
      <c r="AN11" s="192"/>
      <c r="AO11" s="192"/>
      <c r="AP11" s="192"/>
      <c r="AQ11" s="192"/>
      <c r="AR11" s="192"/>
      <c r="AS11" s="192"/>
      <c r="AT11" s="192"/>
      <c r="AU11" s="192"/>
      <c r="AV11" s="192"/>
      <c r="AW11" s="192"/>
      <c r="AX11" s="192"/>
      <c r="AY11" s="192"/>
      <c r="AZ11" s="192"/>
      <c r="BA11" s="192"/>
      <c r="BB11" s="192"/>
      <c r="BC11" s="192"/>
      <c r="BD11" s="192"/>
      <c r="BE11" s="192"/>
      <c r="BF11" s="192"/>
      <c r="BG11" s="192"/>
      <c r="BH11" s="192"/>
      <c r="BI11" s="192"/>
      <c r="BJ11" s="192"/>
      <c r="BK11" s="192"/>
      <c r="BL11" s="192"/>
      <c r="BM11" s="192"/>
      <c r="BN11" s="192" t="s">
        <v>48</v>
      </c>
      <c r="BO11" s="192"/>
      <c r="BP11" s="192"/>
      <c r="BQ11" s="192"/>
      <c r="BR11" s="192"/>
      <c r="BS11" s="192"/>
      <c r="BT11" s="192"/>
      <c r="BU11" s="192"/>
      <c r="BV11" s="192"/>
      <c r="BW11" s="192"/>
      <c r="BX11" s="192"/>
      <c r="BY11" s="192"/>
      <c r="BZ11" s="192"/>
      <c r="CA11" s="192"/>
      <c r="CB11" s="192"/>
      <c r="CC11" s="192"/>
      <c r="CD11" s="192"/>
      <c r="CE11" s="192"/>
      <c r="CF11" s="192"/>
      <c r="CG11" s="192"/>
      <c r="CH11" s="192"/>
      <c r="CI11" s="192"/>
      <c r="CJ11" s="192"/>
      <c r="CK11" s="192"/>
      <c r="CL11" s="192"/>
      <c r="CM11" s="192"/>
      <c r="CN11" s="192"/>
      <c r="CO11" s="192"/>
      <c r="CP11" s="192"/>
      <c r="CQ11" s="192"/>
      <c r="CR11" s="192"/>
      <c r="CS11" s="192"/>
      <c r="CT11" s="192"/>
      <c r="CU11" s="192"/>
      <c r="CV11" s="192"/>
      <c r="CW11" s="192"/>
      <c r="CX11" s="192"/>
      <c r="CY11" s="192"/>
      <c r="CZ11" s="192"/>
      <c r="DA11" s="192"/>
      <c r="DB11" s="192"/>
      <c r="DC11" s="192"/>
      <c r="DD11" s="192"/>
      <c r="DE11" s="192"/>
      <c r="DF11" s="192"/>
      <c r="DG11" s="192"/>
      <c r="DH11" s="192"/>
      <c r="DI11" s="192"/>
      <c r="DJ11" s="192"/>
      <c r="DK11" s="192"/>
      <c r="DL11" s="192"/>
      <c r="DM11" s="192"/>
      <c r="DN11" s="192"/>
      <c r="DO11" s="192"/>
      <c r="DP11" s="192"/>
      <c r="DQ11" s="192"/>
      <c r="DR11" s="192"/>
      <c r="DS11" s="192"/>
      <c r="DT11" s="192"/>
      <c r="DU11" s="192"/>
      <c r="DV11" s="189" t="s">
        <v>48</v>
      </c>
      <c r="DW11" s="189"/>
      <c r="DX11" s="189"/>
      <c r="DY11" s="189"/>
      <c r="DZ11" s="189"/>
      <c r="EA11" s="189"/>
      <c r="EB11" s="189"/>
      <c r="EC11" s="189"/>
      <c r="ED11" s="189"/>
      <c r="EE11" s="189"/>
      <c r="EF11" s="189"/>
      <c r="EG11" s="189"/>
      <c r="EH11" s="189"/>
      <c r="EI11" s="189"/>
      <c r="EJ11" s="189"/>
      <c r="EK11" s="189"/>
      <c r="EL11" s="189"/>
      <c r="EM11" s="189"/>
      <c r="EN11" s="189"/>
      <c r="EO11" s="189"/>
      <c r="EP11" s="189"/>
      <c r="EQ11" s="189"/>
      <c r="ER11" s="189"/>
      <c r="ES11" s="189"/>
      <c r="ET11" s="189"/>
      <c r="EU11" s="189"/>
      <c r="EV11" s="189"/>
      <c r="EW11" s="189"/>
      <c r="EX11" s="189"/>
      <c r="EY11" s="189"/>
      <c r="EZ11" s="189"/>
      <c r="FA11" s="189"/>
      <c r="FB11" s="189"/>
      <c r="FC11" s="189"/>
      <c r="FD11" s="189"/>
      <c r="FE11" s="189"/>
      <c r="FF11" s="189"/>
      <c r="FG11" s="189"/>
      <c r="FH11" s="189"/>
      <c r="FI11" s="189"/>
      <c r="FJ11" s="189"/>
      <c r="FK11" s="189"/>
      <c r="FL11" s="189"/>
      <c r="FM11" s="189"/>
      <c r="FN11" s="189"/>
      <c r="FO11" s="189"/>
      <c r="FP11" s="189"/>
      <c r="FQ11" s="189"/>
      <c r="FR11" s="189"/>
      <c r="FS11" s="189"/>
      <c r="FT11" s="189"/>
      <c r="FU11" s="189"/>
      <c r="FV11" s="189"/>
      <c r="FW11" s="189"/>
      <c r="FX11" s="189"/>
      <c r="FY11" s="189"/>
      <c r="FZ11" s="189"/>
      <c r="GA11" s="189"/>
      <c r="GB11" s="189"/>
      <c r="GC11" s="189"/>
      <c r="GD11" s="90"/>
    </row>
    <row r="12" spans="1:186" ht="15.75" customHeight="1" thickBot="1" x14ac:dyDescent="0.3">
      <c r="B12" s="97"/>
      <c r="C12" s="201"/>
      <c r="D12" s="201"/>
      <c r="E12" s="201"/>
      <c r="F12" s="191" t="s">
        <v>49</v>
      </c>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191"/>
      <c r="BJ12" s="191"/>
      <c r="BK12" s="191"/>
      <c r="BL12" s="191"/>
      <c r="BM12" s="191"/>
      <c r="BN12" s="191" t="s">
        <v>49</v>
      </c>
      <c r="BO12" s="191"/>
      <c r="BP12" s="191"/>
      <c r="BQ12" s="191"/>
      <c r="BR12" s="191"/>
      <c r="BS12" s="191"/>
      <c r="BT12" s="191"/>
      <c r="BU12" s="191"/>
      <c r="BV12" s="191"/>
      <c r="BW12" s="191"/>
      <c r="BX12" s="191"/>
      <c r="BY12" s="191"/>
      <c r="BZ12" s="191"/>
      <c r="CA12" s="191"/>
      <c r="CB12" s="191"/>
      <c r="CC12" s="191"/>
      <c r="CD12" s="191"/>
      <c r="CE12" s="191"/>
      <c r="CF12" s="191"/>
      <c r="CG12" s="191"/>
      <c r="CH12" s="191"/>
      <c r="CI12" s="191"/>
      <c r="CJ12" s="191"/>
      <c r="CK12" s="191"/>
      <c r="CL12" s="191"/>
      <c r="CM12" s="191"/>
      <c r="CN12" s="191"/>
      <c r="CO12" s="191"/>
      <c r="CP12" s="191"/>
      <c r="CQ12" s="191"/>
      <c r="CR12" s="191"/>
      <c r="CS12" s="191"/>
      <c r="CT12" s="191"/>
      <c r="CU12" s="191"/>
      <c r="CV12" s="191"/>
      <c r="CW12" s="191"/>
      <c r="CX12" s="191"/>
      <c r="CY12" s="191"/>
      <c r="CZ12" s="191"/>
      <c r="DA12" s="191"/>
      <c r="DB12" s="191"/>
      <c r="DC12" s="191"/>
      <c r="DD12" s="191"/>
      <c r="DE12" s="191"/>
      <c r="DF12" s="191"/>
      <c r="DG12" s="191"/>
      <c r="DH12" s="191"/>
      <c r="DI12" s="191"/>
      <c r="DJ12" s="191"/>
      <c r="DK12" s="191"/>
      <c r="DL12" s="191"/>
      <c r="DM12" s="191"/>
      <c r="DN12" s="191"/>
      <c r="DO12" s="191"/>
      <c r="DP12" s="191"/>
      <c r="DQ12" s="191"/>
      <c r="DR12" s="191"/>
      <c r="DS12" s="191"/>
      <c r="DT12" s="191"/>
      <c r="DU12" s="191"/>
      <c r="DV12" s="190" t="s">
        <v>49</v>
      </c>
      <c r="DW12" s="190"/>
      <c r="DX12" s="190"/>
      <c r="DY12" s="190"/>
      <c r="DZ12" s="190"/>
      <c r="EA12" s="190"/>
      <c r="EB12" s="190"/>
      <c r="EC12" s="190"/>
      <c r="ED12" s="190"/>
      <c r="EE12" s="190"/>
      <c r="EF12" s="190"/>
      <c r="EG12" s="190"/>
      <c r="EH12" s="190"/>
      <c r="EI12" s="190"/>
      <c r="EJ12" s="190"/>
      <c r="EK12" s="190"/>
      <c r="EL12" s="190"/>
      <c r="EM12" s="190"/>
      <c r="EN12" s="190"/>
      <c r="EO12" s="190"/>
      <c r="EP12" s="190"/>
      <c r="EQ12" s="190"/>
      <c r="ER12" s="190"/>
      <c r="ES12" s="190"/>
      <c r="ET12" s="190"/>
      <c r="EU12" s="190"/>
      <c r="EV12" s="190"/>
      <c r="EW12" s="190"/>
      <c r="EX12" s="190"/>
      <c r="EY12" s="190"/>
      <c r="EZ12" s="190"/>
      <c r="FA12" s="190"/>
      <c r="FB12" s="190"/>
      <c r="FC12" s="190"/>
      <c r="FD12" s="190"/>
      <c r="FE12" s="190"/>
      <c r="FF12" s="190"/>
      <c r="FG12" s="190"/>
      <c r="FH12" s="190"/>
      <c r="FI12" s="190"/>
      <c r="FJ12" s="190"/>
      <c r="FK12" s="190"/>
      <c r="FL12" s="190"/>
      <c r="FM12" s="190"/>
      <c r="FN12" s="190"/>
      <c r="FO12" s="190"/>
      <c r="FP12" s="190"/>
      <c r="FQ12" s="190"/>
      <c r="FR12" s="190"/>
      <c r="FS12" s="190"/>
      <c r="FT12" s="190"/>
      <c r="FU12" s="190"/>
      <c r="FV12" s="190"/>
      <c r="FW12" s="190"/>
      <c r="FX12" s="190"/>
      <c r="FY12" s="190"/>
      <c r="FZ12" s="190"/>
      <c r="GA12" s="190"/>
      <c r="GB12" s="190"/>
      <c r="GC12" s="190"/>
      <c r="GD12" s="90"/>
    </row>
    <row r="13" spans="1:186" ht="42.75" customHeight="1" thickBot="1" x14ac:dyDescent="0.3">
      <c r="B13" s="96"/>
      <c r="C13" s="196" t="s">
        <v>7</v>
      </c>
      <c r="D13" s="145"/>
      <c r="E13" s="198" t="s">
        <v>45</v>
      </c>
      <c r="F13" s="172" t="s">
        <v>8</v>
      </c>
      <c r="G13" s="173"/>
      <c r="H13" s="173"/>
      <c r="I13" s="173"/>
      <c r="J13" s="173"/>
      <c r="K13" s="173"/>
      <c r="L13" s="173"/>
      <c r="M13" s="173"/>
      <c r="N13" s="173"/>
      <c r="O13" s="173"/>
      <c r="P13" s="173"/>
      <c r="Q13" s="173"/>
      <c r="R13" s="173"/>
      <c r="S13" s="173"/>
      <c r="T13" s="173"/>
      <c r="U13" s="173"/>
      <c r="V13" s="173"/>
      <c r="W13" s="173"/>
      <c r="X13" s="173"/>
      <c r="Y13" s="173"/>
      <c r="Z13" s="173"/>
      <c r="AA13" s="173"/>
      <c r="AB13" s="173"/>
      <c r="AC13" s="173"/>
      <c r="AD13" s="173"/>
      <c r="AE13" s="173"/>
      <c r="AF13" s="173"/>
      <c r="AG13" s="173"/>
      <c r="AH13" s="173"/>
      <c r="AI13" s="173"/>
      <c r="AJ13" s="173"/>
      <c r="AK13" s="173"/>
      <c r="AL13" s="173"/>
      <c r="AM13" s="173"/>
      <c r="AN13" s="173"/>
      <c r="AO13" s="173"/>
      <c r="AP13" s="173"/>
      <c r="AQ13" s="173"/>
      <c r="AR13" s="173"/>
      <c r="AS13" s="173"/>
      <c r="AT13" s="173"/>
      <c r="AU13" s="173"/>
      <c r="AV13" s="173"/>
      <c r="AW13" s="173"/>
      <c r="AX13" s="173"/>
      <c r="AY13" s="173"/>
      <c r="AZ13" s="173"/>
      <c r="BA13" s="173"/>
      <c r="BB13" s="173"/>
      <c r="BC13" s="173"/>
      <c r="BD13" s="173"/>
      <c r="BE13" s="173"/>
      <c r="BF13" s="173"/>
      <c r="BG13" s="173"/>
      <c r="BH13" s="173"/>
      <c r="BI13" s="173"/>
      <c r="BJ13" s="173"/>
      <c r="BK13" s="173"/>
      <c r="BL13" s="173"/>
      <c r="BM13" s="174"/>
      <c r="BN13" s="172" t="s">
        <v>32</v>
      </c>
      <c r="BO13" s="173"/>
      <c r="BP13" s="173"/>
      <c r="BQ13" s="173"/>
      <c r="BR13" s="173"/>
      <c r="BS13" s="173"/>
      <c r="BT13" s="173"/>
      <c r="BU13" s="173"/>
      <c r="BV13" s="173"/>
      <c r="BW13" s="173"/>
      <c r="BX13" s="173"/>
      <c r="BY13" s="173"/>
      <c r="BZ13" s="173"/>
      <c r="CA13" s="173"/>
      <c r="CB13" s="173"/>
      <c r="CC13" s="173"/>
      <c r="CD13" s="173"/>
      <c r="CE13" s="173"/>
      <c r="CF13" s="173"/>
      <c r="CG13" s="173"/>
      <c r="CH13" s="173"/>
      <c r="CI13" s="173"/>
      <c r="CJ13" s="173"/>
      <c r="CK13" s="173"/>
      <c r="CL13" s="173"/>
      <c r="CM13" s="173"/>
      <c r="CN13" s="173"/>
      <c r="CO13" s="173"/>
      <c r="CP13" s="173"/>
      <c r="CQ13" s="173"/>
      <c r="CR13" s="173"/>
      <c r="CS13" s="173"/>
      <c r="CT13" s="173"/>
      <c r="CU13" s="173"/>
      <c r="CV13" s="173"/>
      <c r="CW13" s="173"/>
      <c r="CX13" s="173"/>
      <c r="CY13" s="173"/>
      <c r="CZ13" s="173"/>
      <c r="DA13" s="173"/>
      <c r="DB13" s="173"/>
      <c r="DC13" s="173"/>
      <c r="DD13" s="173"/>
      <c r="DE13" s="173"/>
      <c r="DF13" s="173"/>
      <c r="DG13" s="173"/>
      <c r="DH13" s="173"/>
      <c r="DI13" s="173"/>
      <c r="DJ13" s="173"/>
      <c r="DK13" s="173"/>
      <c r="DL13" s="173"/>
      <c r="DM13" s="173"/>
      <c r="DN13" s="173"/>
      <c r="DO13" s="173"/>
      <c r="DP13" s="173"/>
      <c r="DQ13" s="173"/>
      <c r="DR13" s="173"/>
      <c r="DS13" s="173"/>
      <c r="DT13" s="173"/>
      <c r="DU13" s="174"/>
      <c r="DV13" s="172" t="s">
        <v>23</v>
      </c>
      <c r="DW13" s="173"/>
      <c r="DX13" s="173"/>
      <c r="DY13" s="173"/>
      <c r="DZ13" s="173"/>
      <c r="EA13" s="173"/>
      <c r="EB13" s="173"/>
      <c r="EC13" s="173"/>
      <c r="ED13" s="173"/>
      <c r="EE13" s="173"/>
      <c r="EF13" s="173"/>
      <c r="EG13" s="173"/>
      <c r="EH13" s="173"/>
      <c r="EI13" s="173"/>
      <c r="EJ13" s="173"/>
      <c r="EK13" s="173"/>
      <c r="EL13" s="173"/>
      <c r="EM13" s="173"/>
      <c r="EN13" s="173"/>
      <c r="EO13" s="173"/>
      <c r="EP13" s="173"/>
      <c r="EQ13" s="173"/>
      <c r="ER13" s="173"/>
      <c r="ES13" s="173"/>
      <c r="ET13" s="173"/>
      <c r="EU13" s="173"/>
      <c r="EV13" s="173"/>
      <c r="EW13" s="173"/>
      <c r="EX13" s="173"/>
      <c r="EY13" s="173"/>
      <c r="EZ13" s="173"/>
      <c r="FA13" s="173"/>
      <c r="FB13" s="173"/>
      <c r="FC13" s="173"/>
      <c r="FD13" s="173"/>
      <c r="FE13" s="173"/>
      <c r="FF13" s="173"/>
      <c r="FG13" s="173"/>
      <c r="FH13" s="173"/>
      <c r="FI13" s="173"/>
      <c r="FJ13" s="173"/>
      <c r="FK13" s="173"/>
      <c r="FL13" s="173"/>
      <c r="FM13" s="173"/>
      <c r="FN13" s="173"/>
      <c r="FO13" s="173"/>
      <c r="FP13" s="173"/>
      <c r="FQ13" s="173"/>
      <c r="FR13" s="173"/>
      <c r="FS13" s="173"/>
      <c r="FT13" s="173"/>
      <c r="FU13" s="173"/>
      <c r="FV13" s="173"/>
      <c r="FW13" s="173"/>
      <c r="FX13" s="173"/>
      <c r="FY13" s="173"/>
      <c r="FZ13" s="173"/>
      <c r="GA13" s="173"/>
      <c r="GB13" s="173"/>
      <c r="GC13" s="174"/>
      <c r="GD13" s="90"/>
    </row>
    <row r="14" spans="1:186" ht="12.75" customHeight="1" thickBot="1" x14ac:dyDescent="0.35">
      <c r="B14" s="96"/>
      <c r="C14" s="197"/>
      <c r="D14" s="146"/>
      <c r="E14" s="199"/>
      <c r="F14" s="103"/>
      <c r="G14" s="104"/>
      <c r="H14" s="104"/>
      <c r="I14" s="104"/>
      <c r="J14" s="175" t="s">
        <v>40</v>
      </c>
      <c r="K14" s="175"/>
      <c r="L14" s="175"/>
      <c r="M14" s="175"/>
      <c r="N14" s="104"/>
      <c r="O14" s="104"/>
      <c r="P14" s="176" t="s">
        <v>28</v>
      </c>
      <c r="Q14" s="176"/>
      <c r="R14" s="176"/>
      <c r="S14" s="176"/>
      <c r="T14" s="129"/>
      <c r="U14" s="129"/>
      <c r="V14" s="175" t="s">
        <v>41</v>
      </c>
      <c r="W14" s="175"/>
      <c r="X14" s="175"/>
      <c r="Y14" s="175"/>
      <c r="Z14" s="104"/>
      <c r="AA14" s="104"/>
      <c r="AB14" s="176" t="s">
        <v>29</v>
      </c>
      <c r="AC14" s="176"/>
      <c r="AD14" s="176"/>
      <c r="AE14" s="176"/>
      <c r="AF14" s="129"/>
      <c r="AG14" s="129"/>
      <c r="AH14" s="175" t="s">
        <v>42</v>
      </c>
      <c r="AI14" s="175"/>
      <c r="AJ14" s="175"/>
      <c r="AK14" s="175"/>
      <c r="AL14" s="104"/>
      <c r="AM14" s="104"/>
      <c r="AN14" s="176" t="s">
        <v>30</v>
      </c>
      <c r="AO14" s="176"/>
      <c r="AP14" s="176"/>
      <c r="AQ14" s="176"/>
      <c r="AR14" s="129"/>
      <c r="AS14" s="129"/>
      <c r="AT14" s="175" t="s">
        <v>43</v>
      </c>
      <c r="AU14" s="175"/>
      <c r="AV14" s="175"/>
      <c r="AW14" s="175"/>
      <c r="AX14" s="104"/>
      <c r="AY14" s="104"/>
      <c r="AZ14" s="176" t="s">
        <v>31</v>
      </c>
      <c r="BA14" s="176"/>
      <c r="BB14" s="176"/>
      <c r="BC14" s="176"/>
      <c r="BD14" s="129"/>
      <c r="BE14" s="129"/>
      <c r="BF14" s="175" t="s">
        <v>44</v>
      </c>
      <c r="BG14" s="175"/>
      <c r="BH14" s="175"/>
      <c r="BI14" s="175"/>
      <c r="BJ14" s="104"/>
      <c r="BK14" s="104"/>
      <c r="BL14" s="104"/>
      <c r="BM14" s="105"/>
      <c r="BN14" s="103"/>
      <c r="BO14" s="104"/>
      <c r="BP14" s="104"/>
      <c r="BQ14" s="104"/>
      <c r="BR14" s="175" t="s">
        <v>40</v>
      </c>
      <c r="BS14" s="175"/>
      <c r="BT14" s="175"/>
      <c r="BU14" s="175"/>
      <c r="BV14" s="104"/>
      <c r="BW14" s="104"/>
      <c r="BX14" s="176" t="s">
        <v>28</v>
      </c>
      <c r="BY14" s="176"/>
      <c r="BZ14" s="176"/>
      <c r="CA14" s="176"/>
      <c r="CB14" s="129"/>
      <c r="CC14" s="129"/>
      <c r="CD14" s="175" t="s">
        <v>41</v>
      </c>
      <c r="CE14" s="175"/>
      <c r="CF14" s="175"/>
      <c r="CG14" s="175"/>
      <c r="CH14" s="104"/>
      <c r="CI14" s="104"/>
      <c r="CJ14" s="176" t="s">
        <v>29</v>
      </c>
      <c r="CK14" s="176"/>
      <c r="CL14" s="176"/>
      <c r="CM14" s="176"/>
      <c r="CN14" s="129"/>
      <c r="CO14" s="129"/>
      <c r="CP14" s="175" t="s">
        <v>42</v>
      </c>
      <c r="CQ14" s="175"/>
      <c r="CR14" s="175"/>
      <c r="CS14" s="175"/>
      <c r="CT14" s="104"/>
      <c r="CU14" s="104"/>
      <c r="CV14" s="176" t="s">
        <v>30</v>
      </c>
      <c r="CW14" s="176"/>
      <c r="CX14" s="176"/>
      <c r="CY14" s="176"/>
      <c r="CZ14" s="129"/>
      <c r="DA14" s="129"/>
      <c r="DB14" s="175" t="s">
        <v>43</v>
      </c>
      <c r="DC14" s="175"/>
      <c r="DD14" s="175"/>
      <c r="DE14" s="175"/>
      <c r="DF14" s="104"/>
      <c r="DG14" s="104"/>
      <c r="DH14" s="176" t="s">
        <v>31</v>
      </c>
      <c r="DI14" s="176"/>
      <c r="DJ14" s="176"/>
      <c r="DK14" s="176"/>
      <c r="DL14" s="129"/>
      <c r="DM14" s="129"/>
      <c r="DN14" s="175" t="s">
        <v>44</v>
      </c>
      <c r="DO14" s="175"/>
      <c r="DP14" s="175"/>
      <c r="DQ14" s="175"/>
      <c r="DR14" s="104"/>
      <c r="DS14" s="104"/>
      <c r="DT14" s="104"/>
      <c r="DU14" s="105"/>
      <c r="DV14" s="103"/>
      <c r="DW14" s="104"/>
      <c r="DX14" s="104"/>
      <c r="DY14" s="104"/>
      <c r="DZ14" s="175" t="s">
        <v>40</v>
      </c>
      <c r="EA14" s="175"/>
      <c r="EB14" s="175"/>
      <c r="EC14" s="175"/>
      <c r="ED14" s="104"/>
      <c r="EE14" s="104"/>
      <c r="EF14" s="176" t="s">
        <v>28</v>
      </c>
      <c r="EG14" s="176"/>
      <c r="EH14" s="176"/>
      <c r="EI14" s="176"/>
      <c r="EJ14" s="129"/>
      <c r="EK14" s="129"/>
      <c r="EL14" s="175" t="s">
        <v>41</v>
      </c>
      <c r="EM14" s="175"/>
      <c r="EN14" s="175"/>
      <c r="EO14" s="175"/>
      <c r="EP14" s="104"/>
      <c r="EQ14" s="104"/>
      <c r="ER14" s="176" t="s">
        <v>29</v>
      </c>
      <c r="ES14" s="176"/>
      <c r="ET14" s="176"/>
      <c r="EU14" s="176"/>
      <c r="EV14" s="129"/>
      <c r="EW14" s="129"/>
      <c r="EX14" s="175" t="s">
        <v>42</v>
      </c>
      <c r="EY14" s="175"/>
      <c r="EZ14" s="175"/>
      <c r="FA14" s="175"/>
      <c r="FB14" s="104"/>
      <c r="FC14" s="104"/>
      <c r="FD14" s="176" t="s">
        <v>30</v>
      </c>
      <c r="FE14" s="176"/>
      <c r="FF14" s="176"/>
      <c r="FG14" s="176"/>
      <c r="FH14" s="129"/>
      <c r="FI14" s="129"/>
      <c r="FJ14" s="175" t="s">
        <v>43</v>
      </c>
      <c r="FK14" s="175"/>
      <c r="FL14" s="175"/>
      <c r="FM14" s="175"/>
      <c r="FN14" s="104"/>
      <c r="FO14" s="104"/>
      <c r="FP14" s="176" t="s">
        <v>31</v>
      </c>
      <c r="FQ14" s="176"/>
      <c r="FR14" s="176"/>
      <c r="FS14" s="176"/>
      <c r="FT14" s="129"/>
      <c r="FU14" s="129"/>
      <c r="FV14" s="175" t="s">
        <v>44</v>
      </c>
      <c r="FW14" s="175"/>
      <c r="FX14" s="175"/>
      <c r="FY14" s="175"/>
      <c r="FZ14" s="104"/>
      <c r="GA14" s="104"/>
      <c r="GB14" s="104"/>
      <c r="GC14" s="105"/>
      <c r="GD14" s="90"/>
    </row>
    <row r="15" spans="1:186" ht="20.100000000000001" customHeight="1" x14ac:dyDescent="0.25">
      <c r="A15" s="100" t="s">
        <v>24</v>
      </c>
      <c r="B15" s="63" t="str">
        <f>IF(LEN(C15)=0,"",C15)</f>
        <v xml:space="preserve">Absences - imprévus </v>
      </c>
      <c r="C15" s="181" t="s">
        <v>4</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90"/>
    </row>
    <row r="16" spans="1:186" ht="20.100000000000001" customHeight="1" x14ac:dyDescent="0.25">
      <c r="A16" s="100" t="s">
        <v>25</v>
      </c>
      <c r="B16" s="63" t="str">
        <f>IF(LEN(C17)=0,"",C17)</f>
        <v>Analyse - Planification initiale</v>
      </c>
      <c r="C16" s="182"/>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90"/>
    </row>
    <row r="17" spans="1:186" ht="20.100000000000001" customHeight="1" x14ac:dyDescent="0.25">
      <c r="A17" s="100" t="s">
        <v>24</v>
      </c>
      <c r="B17" s="63" t="str">
        <f>IF(LEN(C19)=0,"",C19)</f>
        <v>Réalisation - Interfaces</v>
      </c>
      <c r="C17" s="181" t="s">
        <v>36</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90"/>
    </row>
    <row r="18" spans="1:186" ht="20.100000000000001" customHeight="1" x14ac:dyDescent="0.3">
      <c r="A18" s="100" t="s">
        <v>25</v>
      </c>
      <c r="B18" s="63" t="str">
        <f>IF(LEN(C21)=0,"",C21)</f>
        <v>Doc - Journal de travail</v>
      </c>
      <c r="C18" s="182"/>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90"/>
    </row>
    <row r="19" spans="1:186" ht="20.100000000000001" customHeight="1" x14ac:dyDescent="0.25">
      <c r="A19" s="100" t="s">
        <v>24</v>
      </c>
      <c r="B19" s="63" t="str">
        <f>IF(LEN(C23)=0,"",C23)</f>
        <v>Doc - Rapport</v>
      </c>
      <c r="C19" s="181" t="s">
        <v>37</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90"/>
    </row>
    <row r="20" spans="1:186" ht="20.100000000000001" customHeight="1" x14ac:dyDescent="0.25">
      <c r="A20" s="100" t="s">
        <v>25</v>
      </c>
      <c r="B20" s="63" t="str">
        <f>IF(LEN(C25)=0,"",C25)</f>
        <v/>
      </c>
      <c r="C20" s="183"/>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90"/>
    </row>
    <row r="21" spans="1:186" ht="20.100000000000001" customHeight="1" x14ac:dyDescent="0.25">
      <c r="A21" s="100" t="s">
        <v>24</v>
      </c>
      <c r="B21" s="63" t="str">
        <f>IF(LEN(C27)=0,"",C27)</f>
        <v/>
      </c>
      <c r="C21" s="181" t="s">
        <v>21</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90"/>
    </row>
    <row r="22" spans="1:186" ht="20.100000000000001" customHeight="1" x14ac:dyDescent="0.25">
      <c r="A22" s="100" t="s">
        <v>25</v>
      </c>
      <c r="B22" s="63" t="str">
        <f>IF(LEN(C29)=0,"",C29)</f>
        <v/>
      </c>
      <c r="C22" s="183"/>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90"/>
    </row>
    <row r="23" spans="1:186" ht="20.100000000000001" customHeight="1" x14ac:dyDescent="0.25">
      <c r="A23" s="100" t="s">
        <v>24</v>
      </c>
      <c r="B23" s="63" t="str">
        <f>IF(LEN(C31)=0,"",C31)</f>
        <v/>
      </c>
      <c r="C23" s="181" t="s">
        <v>20</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90"/>
    </row>
    <row r="24" spans="1:186" ht="20.100000000000001" customHeight="1" x14ac:dyDescent="0.25">
      <c r="A24" s="100" t="s">
        <v>25</v>
      </c>
      <c r="B24" s="63" t="str">
        <f>IF(LEN(C33)=0,"",C33)</f>
        <v/>
      </c>
      <c r="C24" s="183"/>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90"/>
    </row>
    <row r="25" spans="1:186" ht="20.100000000000001" customHeight="1" x14ac:dyDescent="0.25">
      <c r="A25" s="100" t="s">
        <v>24</v>
      </c>
      <c r="B25" s="63" t="str">
        <f>IF(LEN(C35)=0,"",C35)</f>
        <v/>
      </c>
      <c r="C25" s="181"/>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90"/>
    </row>
    <row r="26" spans="1:186" ht="20.100000000000001" customHeight="1" x14ac:dyDescent="0.3">
      <c r="A26" s="100" t="s">
        <v>25</v>
      </c>
      <c r="B26" s="63" t="str">
        <f>IF(LEN(C37)=0,"",C37)</f>
        <v/>
      </c>
      <c r="C26" s="182"/>
      <c r="D26" s="149"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90"/>
    </row>
    <row r="27" spans="1:186" ht="20.100000000000001" customHeight="1" x14ac:dyDescent="0.25">
      <c r="A27" s="100" t="s">
        <v>24</v>
      </c>
      <c r="B27" s="63" t="str">
        <f>IF(LEN(C39)=0,"",C39)</f>
        <v/>
      </c>
      <c r="C27" s="181"/>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90"/>
    </row>
    <row r="28" spans="1:186" ht="20.100000000000001" customHeight="1" x14ac:dyDescent="0.3">
      <c r="A28" s="100" t="s">
        <v>25</v>
      </c>
      <c r="B28" s="63" t="str">
        <f>IF(LEN(C41)=0,"",C41)</f>
        <v/>
      </c>
      <c r="C28" s="182"/>
      <c r="D28" s="149"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90"/>
    </row>
    <row r="29" spans="1:186" ht="20.100000000000001" customHeight="1" x14ac:dyDescent="0.25">
      <c r="A29" s="100" t="s">
        <v>24</v>
      </c>
      <c r="B29" s="63" t="str">
        <f>IF(LEN(C43)=0,"",C43)</f>
        <v/>
      </c>
      <c r="C29" s="181"/>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90"/>
    </row>
    <row r="30" spans="1:186" ht="20.100000000000001" customHeight="1" x14ac:dyDescent="0.3">
      <c r="A30" s="100" t="s">
        <v>25</v>
      </c>
      <c r="B30" s="63" t="str">
        <f>IF(LEN(C45)=0,"",C45)</f>
        <v/>
      </c>
      <c r="C30" s="182"/>
      <c r="D30" s="149"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90"/>
    </row>
    <row r="31" spans="1:186" ht="20.100000000000001" customHeight="1" x14ac:dyDescent="0.25">
      <c r="A31" s="100" t="s">
        <v>24</v>
      </c>
      <c r="B31" s="63" t="str">
        <f>IF(LEN(C47)=0,"",C47)</f>
        <v/>
      </c>
      <c r="C31" s="181"/>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90"/>
    </row>
    <row r="32" spans="1:186" ht="20.100000000000001" customHeight="1" x14ac:dyDescent="0.3">
      <c r="A32" s="100" t="s">
        <v>25</v>
      </c>
      <c r="B32" s="63" t="str">
        <f>IF(LEN(C49)=0,"",C49)</f>
        <v/>
      </c>
      <c r="C32" s="182"/>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90"/>
    </row>
    <row r="33" spans="1:186" ht="20.100000000000001" customHeight="1" x14ac:dyDescent="0.25">
      <c r="A33" s="100" t="s">
        <v>24</v>
      </c>
      <c r="B33" s="63" t="str">
        <f>IF(LEN(C51)=0,"",C51)</f>
        <v/>
      </c>
      <c r="C33" s="181"/>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90"/>
    </row>
    <row r="34" spans="1:186" ht="20.100000000000001" customHeight="1" x14ac:dyDescent="0.3">
      <c r="A34" s="100" t="s">
        <v>25</v>
      </c>
      <c r="B34" s="63" t="str">
        <f>IF(LEN(C53)=0,"",C53)</f>
        <v/>
      </c>
      <c r="C34" s="182"/>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90"/>
    </row>
    <row r="35" spans="1:186" ht="20.100000000000001" customHeight="1" x14ac:dyDescent="0.25">
      <c r="A35" s="100" t="s">
        <v>24</v>
      </c>
      <c r="B35" s="63" t="str">
        <f>IF(LEN(C55)=0,"",C55)</f>
        <v/>
      </c>
      <c r="C35" s="181"/>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90"/>
    </row>
    <row r="36" spans="1:186" ht="20.100000000000001" customHeight="1" x14ac:dyDescent="0.25">
      <c r="A36" s="100" t="s">
        <v>25</v>
      </c>
      <c r="B36" s="63" t="str">
        <f>IF(LEN(C57)=0,"",C57)</f>
        <v/>
      </c>
      <c r="C36" s="183"/>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90"/>
    </row>
    <row r="37" spans="1:186" ht="20.100000000000001" customHeight="1" x14ac:dyDescent="0.25">
      <c r="A37" s="100" t="s">
        <v>24</v>
      </c>
      <c r="B37" s="63" t="str">
        <f>IF(LEN(C59)=0,"",C59)</f>
        <v/>
      </c>
      <c r="C37" s="181"/>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90"/>
    </row>
    <row r="38" spans="1:186" ht="20.100000000000001" customHeight="1" x14ac:dyDescent="0.3">
      <c r="A38" s="100" t="s">
        <v>25</v>
      </c>
      <c r="B38" s="63" t="str">
        <f>IF(LEN(C61)=0,"",C61)</f>
        <v/>
      </c>
      <c r="C38" s="182"/>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90"/>
    </row>
    <row r="39" spans="1:186" ht="20.100000000000001" customHeight="1" x14ac:dyDescent="0.25">
      <c r="A39" s="100" t="s">
        <v>24</v>
      </c>
      <c r="B39" s="63" t="str">
        <f>IF(LEN(C63)=0,"",C63)</f>
        <v/>
      </c>
      <c r="C39" s="181"/>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90"/>
    </row>
    <row r="40" spans="1:186" ht="20.100000000000001" customHeight="1" x14ac:dyDescent="0.25">
      <c r="A40" s="100" t="s">
        <v>25</v>
      </c>
      <c r="B40" s="63" t="str">
        <f>IF(LEN(C65)=0,"",C65)</f>
        <v/>
      </c>
      <c r="C40" s="183"/>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90"/>
    </row>
    <row r="41" spans="1:186" ht="20.100000000000001" customHeight="1" x14ac:dyDescent="0.25">
      <c r="A41" s="100" t="s">
        <v>24</v>
      </c>
      <c r="B41" s="63" t="str">
        <f>IF(LEN(C67)=0,"",C67)</f>
        <v/>
      </c>
      <c r="C41" s="181"/>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90"/>
    </row>
    <row r="42" spans="1:186" ht="20.100000000000001" customHeight="1" x14ac:dyDescent="0.3">
      <c r="A42" s="100" t="s">
        <v>25</v>
      </c>
      <c r="B42" s="63" t="str">
        <f>IF(LEN(C69)=0,"",C69)</f>
        <v/>
      </c>
      <c r="C42" s="182"/>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90"/>
    </row>
    <row r="43" spans="1:186" ht="20.100000000000001" customHeight="1" x14ac:dyDescent="0.25">
      <c r="A43" s="100" t="s">
        <v>24</v>
      </c>
      <c r="B43" s="63" t="str">
        <f>IF(LEN(C71)=0,"",C71)</f>
        <v/>
      </c>
      <c r="C43" s="181"/>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90"/>
    </row>
    <row r="44" spans="1:186" ht="20.100000000000001" customHeight="1" x14ac:dyDescent="0.3">
      <c r="A44" s="100" t="s">
        <v>25</v>
      </c>
      <c r="B44" s="63" t="str">
        <f>IF(LEN(C73)=0,"",C73)</f>
        <v/>
      </c>
      <c r="C44" s="182"/>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90"/>
    </row>
    <row r="45" spans="1:186" ht="20.100000000000001" customHeight="1" x14ac:dyDescent="0.25">
      <c r="A45" s="100" t="s">
        <v>24</v>
      </c>
      <c r="B45" s="63" t="str">
        <f>IF(LEN(C75)=0,"",C75)</f>
        <v/>
      </c>
      <c r="C45" s="181"/>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90"/>
    </row>
    <row r="46" spans="1:186" ht="20.100000000000001" customHeight="1" x14ac:dyDescent="0.25">
      <c r="A46" s="100" t="s">
        <v>25</v>
      </c>
      <c r="B46" s="63" t="str">
        <f>IF(LEN(C77)=0,"",C77)</f>
        <v/>
      </c>
      <c r="C46" s="183"/>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90"/>
    </row>
    <row r="47" spans="1:186" ht="20.100000000000001" customHeight="1" x14ac:dyDescent="0.25">
      <c r="A47" s="100" t="s">
        <v>24</v>
      </c>
      <c r="B47" s="63" t="str">
        <f>IF(LEN(C79)=0,"",C79)</f>
        <v/>
      </c>
      <c r="C47" s="181"/>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90"/>
    </row>
    <row r="48" spans="1:186" ht="20.100000000000001" customHeight="1" x14ac:dyDescent="0.3">
      <c r="A48" s="100" t="s">
        <v>25</v>
      </c>
      <c r="B48" s="63" t="str">
        <f>IF(LEN(C81)=0,"",C81)</f>
        <v/>
      </c>
      <c r="C48" s="182"/>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90"/>
    </row>
    <row r="49" spans="1:186" ht="20.100000000000001" customHeight="1" x14ac:dyDescent="0.25">
      <c r="A49" s="100" t="s">
        <v>24</v>
      </c>
      <c r="B49" s="63" t="str">
        <f>IF(LEN(C83)=0,"",C83)</f>
        <v/>
      </c>
      <c r="C49" s="181"/>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90"/>
    </row>
    <row r="50" spans="1:186" ht="20.100000000000001" customHeight="1" x14ac:dyDescent="0.3">
      <c r="A50" s="100" t="s">
        <v>25</v>
      </c>
      <c r="B50" s="63" t="str">
        <f>IF(LEN(C85)=0,"",C85)</f>
        <v/>
      </c>
      <c r="C50" s="182"/>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90"/>
    </row>
    <row r="51" spans="1:186" ht="20.100000000000001" customHeight="1" x14ac:dyDescent="0.25">
      <c r="A51" s="100" t="s">
        <v>24</v>
      </c>
      <c r="B51" s="63" t="str">
        <f>IF(LEN(C87)=0,"",C87)</f>
        <v/>
      </c>
      <c r="C51" s="181"/>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90"/>
    </row>
    <row r="52" spans="1:186" ht="20.100000000000001" customHeight="1" x14ac:dyDescent="0.25">
      <c r="A52" s="100" t="s">
        <v>25</v>
      </c>
      <c r="B52" s="63" t="str">
        <f>IF(LEN(C89)=0,"",C89)</f>
        <v/>
      </c>
      <c r="C52" s="183"/>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90"/>
    </row>
    <row r="53" spans="1:186" ht="20.100000000000001" customHeight="1" x14ac:dyDescent="0.25">
      <c r="A53" s="100" t="s">
        <v>24</v>
      </c>
      <c r="B53" s="63" t="str">
        <f>IF(LEN(C91)=0,"",C91)</f>
        <v/>
      </c>
      <c r="C53" s="181"/>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90"/>
    </row>
    <row r="54" spans="1:186" ht="20.100000000000001" customHeight="1" x14ac:dyDescent="0.3">
      <c r="A54" s="100" t="s">
        <v>25</v>
      </c>
      <c r="B54" s="63" t="str">
        <f>IF(LEN(C93)=0,"",C93)</f>
        <v/>
      </c>
      <c r="C54" s="182"/>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90"/>
    </row>
    <row r="55" spans="1:186" ht="20.100000000000001" customHeight="1" x14ac:dyDescent="0.25">
      <c r="A55" s="100" t="s">
        <v>24</v>
      </c>
      <c r="B55" s="63"/>
      <c r="C55" s="181"/>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90"/>
    </row>
    <row r="56" spans="1:186" ht="20.100000000000001" customHeight="1" x14ac:dyDescent="0.25">
      <c r="A56" s="100" t="s">
        <v>25</v>
      </c>
      <c r="B56" s="63"/>
      <c r="C56" s="183"/>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90"/>
    </row>
    <row r="57" spans="1:186" ht="20.100000000000001" customHeight="1" x14ac:dyDescent="0.25">
      <c r="A57" s="100" t="s">
        <v>24</v>
      </c>
      <c r="B57" s="63"/>
      <c r="C57" s="181"/>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90"/>
    </row>
    <row r="58" spans="1:186" ht="20.100000000000001" customHeight="1" x14ac:dyDescent="0.3">
      <c r="A58" s="100" t="s">
        <v>25</v>
      </c>
      <c r="B58" s="63"/>
      <c r="C58" s="182"/>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90"/>
    </row>
    <row r="59" spans="1:186" ht="20.100000000000001" customHeight="1" x14ac:dyDescent="0.25">
      <c r="A59" s="100" t="s">
        <v>24</v>
      </c>
      <c r="B59" s="63"/>
      <c r="C59" s="181"/>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90"/>
    </row>
    <row r="60" spans="1:186" ht="20.100000000000001" customHeight="1" x14ac:dyDescent="0.3">
      <c r="A60" s="100" t="s">
        <v>25</v>
      </c>
      <c r="B60" s="63"/>
      <c r="C60" s="182"/>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90"/>
    </row>
    <row r="61" spans="1:186" ht="20.100000000000001" customHeight="1" x14ac:dyDescent="0.25">
      <c r="A61" s="100" t="s">
        <v>24</v>
      </c>
      <c r="B61" s="63"/>
      <c r="C61" s="181"/>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90"/>
    </row>
    <row r="62" spans="1:186" ht="20.100000000000001" customHeight="1" x14ac:dyDescent="0.25">
      <c r="A62" s="100" t="s">
        <v>25</v>
      </c>
      <c r="B62" s="63"/>
      <c r="C62" s="183"/>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90"/>
    </row>
    <row r="63" spans="1:186" ht="20.100000000000001" customHeight="1" x14ac:dyDescent="0.25">
      <c r="A63" s="100" t="s">
        <v>24</v>
      </c>
      <c r="B63" s="63"/>
      <c r="C63" s="181"/>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90"/>
    </row>
    <row r="64" spans="1:186" ht="20.100000000000001" customHeight="1" x14ac:dyDescent="0.3">
      <c r="A64" s="100" t="s">
        <v>25</v>
      </c>
      <c r="B64" s="63"/>
      <c r="C64" s="182"/>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90"/>
    </row>
    <row r="65" spans="1:186" ht="20.100000000000001" customHeight="1" x14ac:dyDescent="0.25">
      <c r="A65" s="100" t="s">
        <v>24</v>
      </c>
      <c r="B65" s="63"/>
      <c r="C65" s="181"/>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90"/>
    </row>
    <row r="66" spans="1:186" ht="20.100000000000001" customHeight="1" x14ac:dyDescent="0.3">
      <c r="A66" s="100" t="s">
        <v>25</v>
      </c>
      <c r="B66" s="63"/>
      <c r="C66" s="182"/>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90"/>
    </row>
    <row r="67" spans="1:186" ht="20.100000000000001" customHeight="1" x14ac:dyDescent="0.25">
      <c r="A67" s="100" t="s">
        <v>24</v>
      </c>
      <c r="B67" s="63"/>
      <c r="C67" s="181"/>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90"/>
    </row>
    <row r="68" spans="1:186" ht="20.100000000000001" customHeight="1" x14ac:dyDescent="0.25">
      <c r="A68" s="100" t="s">
        <v>25</v>
      </c>
      <c r="B68" s="63"/>
      <c r="C68" s="183"/>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90"/>
    </row>
    <row r="69" spans="1:186" ht="20.100000000000001" customHeight="1" x14ac:dyDescent="0.25">
      <c r="A69" s="100" t="s">
        <v>24</v>
      </c>
      <c r="B69" s="63"/>
      <c r="C69" s="181"/>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90"/>
    </row>
    <row r="70" spans="1:186" ht="20.100000000000001" customHeight="1" x14ac:dyDescent="0.3">
      <c r="A70" s="100" t="s">
        <v>25</v>
      </c>
      <c r="B70" s="63"/>
      <c r="C70" s="182"/>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90"/>
    </row>
    <row r="71" spans="1:186" ht="20.100000000000001" customHeight="1" x14ac:dyDescent="0.25">
      <c r="A71" s="100" t="s">
        <v>24</v>
      </c>
      <c r="B71" s="63"/>
      <c r="C71" s="181"/>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90"/>
    </row>
    <row r="72" spans="1:186" ht="20.100000000000001" customHeight="1" x14ac:dyDescent="0.25">
      <c r="A72" s="100" t="s">
        <v>25</v>
      </c>
      <c r="B72" s="63"/>
      <c r="C72" s="183"/>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90"/>
    </row>
    <row r="73" spans="1:186" ht="20.100000000000001" customHeight="1" x14ac:dyDescent="0.25">
      <c r="A73" s="100" t="s">
        <v>24</v>
      </c>
      <c r="B73" s="63"/>
      <c r="C73" s="181"/>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90"/>
    </row>
    <row r="74" spans="1:186" ht="20.100000000000001" customHeight="1" x14ac:dyDescent="0.3">
      <c r="A74" s="100" t="s">
        <v>25</v>
      </c>
      <c r="B74" s="63"/>
      <c r="C74" s="182"/>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90"/>
    </row>
    <row r="75" spans="1:186" ht="20.100000000000001" customHeight="1" x14ac:dyDescent="0.25">
      <c r="A75" s="100" t="s">
        <v>24</v>
      </c>
      <c r="B75" s="63"/>
      <c r="C75" s="181"/>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90"/>
    </row>
    <row r="76" spans="1:186" ht="20.100000000000001" customHeight="1" x14ac:dyDescent="0.3">
      <c r="A76" s="100" t="s">
        <v>25</v>
      </c>
      <c r="B76" s="63"/>
      <c r="C76" s="182"/>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90"/>
    </row>
    <row r="77" spans="1:186" ht="20.100000000000001" customHeight="1" x14ac:dyDescent="0.25">
      <c r="A77" s="100" t="s">
        <v>24</v>
      </c>
      <c r="B77" s="63"/>
      <c r="C77" s="181"/>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90"/>
    </row>
    <row r="78" spans="1:186" ht="20.100000000000001" customHeight="1" x14ac:dyDescent="0.25">
      <c r="A78" s="100" t="s">
        <v>25</v>
      </c>
      <c r="B78" s="63"/>
      <c r="C78" s="183"/>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90"/>
    </row>
    <row r="79" spans="1:186" ht="20.100000000000001" customHeight="1" x14ac:dyDescent="0.25">
      <c r="A79" s="100" t="s">
        <v>24</v>
      </c>
      <c r="B79" s="63"/>
      <c r="C79" s="181"/>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90"/>
    </row>
    <row r="80" spans="1:186" ht="20.100000000000001" customHeight="1" x14ac:dyDescent="0.3">
      <c r="A80" s="100" t="s">
        <v>25</v>
      </c>
      <c r="B80" s="63"/>
      <c r="C80" s="182"/>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90"/>
    </row>
    <row r="81" spans="1:186" ht="20.100000000000001" customHeight="1" x14ac:dyDescent="0.25">
      <c r="A81" s="100" t="s">
        <v>24</v>
      </c>
      <c r="B81" s="63"/>
      <c r="C81" s="181"/>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90"/>
    </row>
    <row r="82" spans="1:186" ht="20.100000000000001" customHeight="1" x14ac:dyDescent="0.3">
      <c r="A82" s="100" t="s">
        <v>25</v>
      </c>
      <c r="B82" s="63"/>
      <c r="C82" s="182"/>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90"/>
    </row>
    <row r="83" spans="1:186" ht="20.100000000000001" customHeight="1" x14ac:dyDescent="0.25">
      <c r="A83" s="100" t="s">
        <v>24</v>
      </c>
      <c r="B83" s="63"/>
      <c r="C83" s="181"/>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90"/>
    </row>
    <row r="84" spans="1:186" ht="20.100000000000001" customHeight="1" x14ac:dyDescent="0.25">
      <c r="A84" s="100" t="s">
        <v>25</v>
      </c>
      <c r="B84" s="63"/>
      <c r="C84" s="183"/>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90"/>
    </row>
    <row r="85" spans="1:186" ht="20.100000000000001" customHeight="1" x14ac:dyDescent="0.25">
      <c r="A85" s="100" t="s">
        <v>24</v>
      </c>
      <c r="B85" s="63"/>
      <c r="C85" s="181"/>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90"/>
    </row>
    <row r="86" spans="1:186" ht="20.100000000000001" customHeight="1" x14ac:dyDescent="0.3">
      <c r="A86" s="100" t="s">
        <v>25</v>
      </c>
      <c r="B86" s="63"/>
      <c r="C86" s="182"/>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90"/>
    </row>
    <row r="87" spans="1:186" ht="20.100000000000001" customHeight="1" x14ac:dyDescent="0.25">
      <c r="A87" s="100" t="s">
        <v>24</v>
      </c>
      <c r="B87" s="63"/>
      <c r="C87" s="181"/>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90"/>
    </row>
    <row r="88" spans="1:186" ht="20.100000000000001" customHeight="1" x14ac:dyDescent="0.25">
      <c r="A88" s="100" t="s">
        <v>25</v>
      </c>
      <c r="B88" s="63"/>
      <c r="C88" s="183"/>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90"/>
    </row>
    <row r="89" spans="1:186" ht="20.100000000000001" customHeight="1" x14ac:dyDescent="0.25">
      <c r="A89" s="100" t="s">
        <v>24</v>
      </c>
      <c r="B89" s="63"/>
      <c r="C89" s="181"/>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90"/>
    </row>
    <row r="90" spans="1:186" ht="20.100000000000001" customHeight="1" x14ac:dyDescent="0.3">
      <c r="A90" s="100" t="s">
        <v>25</v>
      </c>
      <c r="B90" s="63"/>
      <c r="C90" s="182"/>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90"/>
    </row>
    <row r="91" spans="1:186" ht="20.100000000000001" customHeight="1" x14ac:dyDescent="0.25">
      <c r="A91" s="100" t="s">
        <v>24</v>
      </c>
      <c r="B91" s="63"/>
      <c r="C91" s="181"/>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90"/>
    </row>
    <row r="92" spans="1:186" ht="20.100000000000001" customHeight="1" x14ac:dyDescent="0.3">
      <c r="A92" s="100" t="s">
        <v>25</v>
      </c>
      <c r="B92" s="63"/>
      <c r="C92" s="182"/>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90"/>
    </row>
    <row r="93" spans="1:186" ht="20.100000000000001" customHeight="1" x14ac:dyDescent="0.25">
      <c r="A93" s="100" t="s">
        <v>24</v>
      </c>
      <c r="B93" s="63"/>
      <c r="C93" s="181"/>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90"/>
    </row>
    <row r="94" spans="1:186" ht="20.100000000000001" customHeight="1" x14ac:dyDescent="0.25">
      <c r="A94" s="100" t="s">
        <v>25</v>
      </c>
      <c r="B94" s="63"/>
      <c r="C94" s="183"/>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90"/>
    </row>
    <row r="95" spans="1:186" ht="20.100000000000001" customHeight="1" x14ac:dyDescent="0.25">
      <c r="B95" s="96"/>
      <c r="C95" s="177" t="s">
        <v>9</v>
      </c>
      <c r="D95" s="178"/>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90"/>
    </row>
    <row r="96" spans="1:186" ht="20.100000000000001" customHeight="1" thickBot="1" x14ac:dyDescent="0.3">
      <c r="B96" s="96"/>
      <c r="C96" s="179"/>
      <c r="D96" s="180"/>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90"/>
    </row>
    <row r="97" spans="2:186" ht="20.100000000000001" customHeight="1" x14ac:dyDescent="0.25">
      <c r="B97" s="96"/>
      <c r="C97" s="184" t="s">
        <v>10</v>
      </c>
      <c r="D97" s="185"/>
      <c r="E97" s="118">
        <f>SUM(E16,E18,E20,E22,E24,E26,E28,E30,E32,E34,E36,E38,E40,E42,E44,E46,E48,E50,E52,E54,E56,E58,E60,E62,E64,E66,E68,E70,E72,E74,E76,E78,E80,E82,E84,E86,E88,E90,E92,E94)</f>
        <v>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24"/>
    </row>
    <row r="98" spans="2:186" ht="20.100000000000001" customHeight="1" thickBot="1" x14ac:dyDescent="0.3">
      <c r="B98" s="96"/>
      <c r="C98" s="186"/>
      <c r="D98" s="187"/>
      <c r="E98" s="122" t="str">
        <f xml:space="preserve"> setValueToTime(E97)</f>
        <v>0h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90"/>
    </row>
    <row r="99" spans="2:1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91"/>
    </row>
  </sheetData>
  <sheetProtection insertRows="0" insertHyperlinks="0" selectLockedCells="1"/>
  <mergeCells count="89">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C25:C26"/>
    <mergeCell ref="C39:C40"/>
    <mergeCell ref="C41:C42"/>
    <mergeCell ref="C27:C28"/>
    <mergeCell ref="C55:C56"/>
    <mergeCell ref="C57:C58"/>
    <mergeCell ref="C59:C60"/>
    <mergeCell ref="C61:C62"/>
    <mergeCell ref="C83:C84"/>
    <mergeCell ref="C81:C82"/>
    <mergeCell ref="C79:C80"/>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49"/>
  <sheetViews>
    <sheetView showGridLines="0" tabSelected="1" zoomScaleNormal="100" zoomScaleSheetLayoutView="98" workbookViewId="0">
      <pane ySplit="1" topLeftCell="A2" activePane="bottomLeft" state="frozen"/>
      <selection pane="bottomLeft" activeCell="D9" sqref="D9"/>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52.8554687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16</v>
      </c>
      <c r="B2" s="165">
        <v>4</v>
      </c>
      <c r="C2" s="165"/>
      <c r="D2" s="158" t="s">
        <v>19</v>
      </c>
      <c r="E2" s="159">
        <v>45205</v>
      </c>
      <c r="F2" s="160"/>
      <c r="G2" s="46"/>
    </row>
    <row r="3" spans="1:7" s="47" customFormat="1" ht="30" customHeight="1" thickBot="1" x14ac:dyDescent="0.3">
      <c r="A3" s="78" t="s">
        <v>5</v>
      </c>
      <c r="B3" s="162" t="s">
        <v>46</v>
      </c>
      <c r="C3" s="161"/>
      <c r="D3" s="78" t="s">
        <v>17</v>
      </c>
      <c r="E3" s="210" t="s">
        <v>18</v>
      </c>
      <c r="F3" s="211"/>
      <c r="G3" s="46"/>
    </row>
    <row r="4" spans="1:7" s="52" customFormat="1" x14ac:dyDescent="0.3">
      <c r="A4" s="166" t="s">
        <v>63</v>
      </c>
      <c r="B4" s="49">
        <v>33</v>
      </c>
      <c r="C4" s="153" t="str">
        <f xml:space="preserve"> IF(B4="","",setValueToTime(B4))</f>
        <v>2h45min</v>
      </c>
      <c r="D4" s="167" t="s">
        <v>64</v>
      </c>
      <c r="E4" s="212"/>
      <c r="F4" s="213"/>
      <c r="G4" s="51"/>
    </row>
    <row r="5" spans="1:7" s="52" customFormat="1" x14ac:dyDescent="0.3">
      <c r="A5" s="53"/>
      <c r="B5" s="54"/>
      <c r="C5" s="154" t="str">
        <f t="shared" ref="C5:C11" si="0" xml:space="preserve"> IF(B5="","",setValueToTime(B5))</f>
        <v/>
      </c>
      <c r="D5" s="55"/>
      <c r="E5" s="204"/>
      <c r="F5" s="205"/>
      <c r="G5" s="51"/>
    </row>
    <row r="6" spans="1:7" s="52" customFormat="1" x14ac:dyDescent="0.3">
      <c r="A6" s="53"/>
      <c r="B6" s="54"/>
      <c r="C6" s="154" t="str">
        <f t="shared" si="0"/>
        <v/>
      </c>
      <c r="D6" s="55"/>
      <c r="E6" s="204"/>
      <c r="F6" s="205"/>
      <c r="G6" s="51"/>
    </row>
    <row r="7" spans="1:7" s="52" customFormat="1" x14ac:dyDescent="0.3">
      <c r="A7" s="53"/>
      <c r="B7" s="54"/>
      <c r="C7" s="154" t="str">
        <f t="shared" si="0"/>
        <v/>
      </c>
      <c r="D7" s="55"/>
      <c r="E7" s="204"/>
      <c r="F7" s="205"/>
      <c r="G7" s="51"/>
    </row>
    <row r="8" spans="1:7" s="52" customFormat="1" x14ac:dyDescent="0.3">
      <c r="A8" s="54"/>
      <c r="B8" s="54"/>
      <c r="C8" s="155" t="str">
        <f t="shared" si="0"/>
        <v/>
      </c>
      <c r="D8" s="55"/>
      <c r="E8" s="204"/>
      <c r="F8" s="205"/>
      <c r="G8" s="51"/>
    </row>
    <row r="9" spans="1:7" s="52" customFormat="1" x14ac:dyDescent="0.3">
      <c r="A9" s="54"/>
      <c r="B9" s="54"/>
      <c r="C9" s="155" t="str">
        <f t="shared" si="0"/>
        <v/>
      </c>
      <c r="D9" s="55"/>
      <c r="E9" s="204"/>
      <c r="F9" s="205"/>
      <c r="G9" s="51"/>
    </row>
    <row r="10" spans="1:7" s="52" customFormat="1" x14ac:dyDescent="0.3">
      <c r="A10" s="54"/>
      <c r="B10" s="54"/>
      <c r="C10" s="155" t="str">
        <f t="shared" si="0"/>
        <v/>
      </c>
      <c r="D10" s="55"/>
      <c r="E10" s="204"/>
      <c r="F10" s="205"/>
      <c r="G10" s="51"/>
    </row>
    <row r="11" spans="1:7" s="52" customFormat="1" ht="15" thickBot="1" x14ac:dyDescent="0.35">
      <c r="A11" s="56"/>
      <c r="B11" s="56"/>
      <c r="C11" s="156" t="str">
        <f t="shared" si="0"/>
        <v/>
      </c>
      <c r="D11" s="57"/>
      <c r="E11" s="206"/>
      <c r="F11" s="207"/>
      <c r="G11" s="51"/>
    </row>
    <row r="12" spans="1:7" s="52" customFormat="1" ht="15" thickBot="1" x14ac:dyDescent="0.35">
      <c r="A12" s="163" t="s">
        <v>33</v>
      </c>
      <c r="B12" s="83">
        <f>SUM(B4:B11)</f>
        <v>33</v>
      </c>
      <c r="C12" s="163" t="str">
        <f xml:space="preserve"> setValueToTime(B12)</f>
        <v>2h45min</v>
      </c>
      <c r="D12" s="121"/>
      <c r="E12" s="208"/>
      <c r="F12" s="209"/>
      <c r="G12" s="51"/>
    </row>
    <row r="13" spans="1:7" s="59" customFormat="1" ht="15" thickBot="1" x14ac:dyDescent="0.35">
      <c r="A13" s="77"/>
      <c r="B13" s="77"/>
      <c r="C13" s="77"/>
      <c r="D13" s="77"/>
      <c r="E13" s="77"/>
      <c r="F13" s="77"/>
      <c r="G13" s="58"/>
    </row>
    <row r="14" spans="1:7" s="47" customFormat="1" ht="30" customHeight="1" thickBot="1" x14ac:dyDescent="0.3">
      <c r="A14" s="157" t="s">
        <v>16</v>
      </c>
      <c r="B14" s="165">
        <v>3</v>
      </c>
      <c r="C14" s="165"/>
      <c r="D14" s="158" t="s">
        <v>19</v>
      </c>
      <c r="E14" s="159">
        <v>45203</v>
      </c>
      <c r="F14" s="160"/>
      <c r="G14" s="46"/>
    </row>
    <row r="15" spans="1:7" s="47" customFormat="1" ht="30" customHeight="1" thickBot="1" x14ac:dyDescent="0.3">
      <c r="A15" s="78" t="s">
        <v>5</v>
      </c>
      <c r="B15" s="162" t="s">
        <v>46</v>
      </c>
      <c r="C15" s="161"/>
      <c r="D15" s="78" t="s">
        <v>17</v>
      </c>
      <c r="E15" s="210" t="s">
        <v>18</v>
      </c>
      <c r="F15" s="211"/>
      <c r="G15" s="46"/>
    </row>
    <row r="16" spans="1:7" s="52" customFormat="1" x14ac:dyDescent="0.3">
      <c r="A16" s="166" t="s">
        <v>61</v>
      </c>
      <c r="B16" s="49">
        <v>9</v>
      </c>
      <c r="C16" s="153" t="str">
        <f xml:space="preserve"> IF(B16="","",setValueToTime(B16))</f>
        <v>0h45min</v>
      </c>
      <c r="D16" s="167" t="s">
        <v>62</v>
      </c>
      <c r="E16" s="212"/>
      <c r="F16" s="213"/>
      <c r="G16" s="51"/>
    </row>
    <row r="17" spans="1:7" s="52" customFormat="1" x14ac:dyDescent="0.3">
      <c r="A17" s="53"/>
      <c r="B17" s="54"/>
      <c r="C17" s="154" t="str">
        <f t="shared" ref="C17:C23" si="1" xml:space="preserve"> IF(B17="","",setValueToTime(B17))</f>
        <v/>
      </c>
      <c r="D17" s="55"/>
      <c r="E17" s="204"/>
      <c r="F17" s="205"/>
      <c r="G17" s="51"/>
    </row>
    <row r="18" spans="1:7" s="52" customFormat="1" x14ac:dyDescent="0.3">
      <c r="A18" s="53"/>
      <c r="B18" s="54"/>
      <c r="C18" s="154" t="str">
        <f t="shared" si="1"/>
        <v/>
      </c>
      <c r="D18" s="55"/>
      <c r="E18" s="204"/>
      <c r="F18" s="205"/>
      <c r="G18" s="51"/>
    </row>
    <row r="19" spans="1:7" s="52" customFormat="1" x14ac:dyDescent="0.3">
      <c r="A19" s="53"/>
      <c r="B19" s="54"/>
      <c r="C19" s="154" t="str">
        <f t="shared" si="1"/>
        <v/>
      </c>
      <c r="D19" s="55"/>
      <c r="E19" s="204"/>
      <c r="F19" s="205"/>
      <c r="G19" s="51"/>
    </row>
    <row r="20" spans="1:7" s="52" customFormat="1" x14ac:dyDescent="0.3">
      <c r="A20" s="54"/>
      <c r="B20" s="54"/>
      <c r="C20" s="155" t="str">
        <f t="shared" si="1"/>
        <v/>
      </c>
      <c r="D20" s="55"/>
      <c r="E20" s="204"/>
      <c r="F20" s="205"/>
      <c r="G20" s="51"/>
    </row>
    <row r="21" spans="1:7" s="52" customFormat="1" x14ac:dyDescent="0.3">
      <c r="A21" s="54"/>
      <c r="B21" s="54"/>
      <c r="C21" s="155" t="str">
        <f t="shared" si="1"/>
        <v/>
      </c>
      <c r="D21" s="55"/>
      <c r="E21" s="204"/>
      <c r="F21" s="205"/>
      <c r="G21" s="51"/>
    </row>
    <row r="22" spans="1:7" s="52" customFormat="1" x14ac:dyDescent="0.3">
      <c r="A22" s="54"/>
      <c r="B22" s="54"/>
      <c r="C22" s="155" t="str">
        <f t="shared" si="1"/>
        <v/>
      </c>
      <c r="D22" s="55"/>
      <c r="E22" s="204"/>
      <c r="F22" s="205"/>
      <c r="G22" s="51"/>
    </row>
    <row r="23" spans="1:7" s="52" customFormat="1" ht="15" thickBot="1" x14ac:dyDescent="0.35">
      <c r="A23" s="56"/>
      <c r="B23" s="56"/>
      <c r="C23" s="156" t="str">
        <f t="shared" si="1"/>
        <v/>
      </c>
      <c r="D23" s="57"/>
      <c r="E23" s="206"/>
      <c r="F23" s="207"/>
      <c r="G23" s="51"/>
    </row>
    <row r="24" spans="1:7" s="52" customFormat="1" ht="15" thickBot="1" x14ac:dyDescent="0.35">
      <c r="A24" s="163" t="s">
        <v>33</v>
      </c>
      <c r="B24" s="83">
        <f>SUM(B16:B23)</f>
        <v>9</v>
      </c>
      <c r="C24" s="163" t="str">
        <f xml:space="preserve"> setValueToTime(B24)</f>
        <v>0h45min</v>
      </c>
      <c r="D24" s="121"/>
      <c r="E24" s="208"/>
      <c r="F24" s="209"/>
      <c r="G24" s="51"/>
    </row>
    <row r="25" spans="1:7" s="59" customFormat="1" ht="15" thickBot="1" x14ac:dyDescent="0.35">
      <c r="A25" s="77"/>
      <c r="B25" s="77"/>
      <c r="C25" s="77"/>
      <c r="D25" s="77"/>
      <c r="E25" s="77"/>
      <c r="F25" s="77"/>
      <c r="G25" s="58"/>
    </row>
    <row r="26" spans="1:7" s="47" customFormat="1" ht="30" customHeight="1" thickBot="1" x14ac:dyDescent="0.3">
      <c r="A26" s="157" t="s">
        <v>16</v>
      </c>
      <c r="B26" s="165">
        <v>2</v>
      </c>
      <c r="C26" s="165"/>
      <c r="D26" s="158" t="s">
        <v>19</v>
      </c>
      <c r="E26" s="159">
        <v>45198</v>
      </c>
      <c r="F26" s="160"/>
      <c r="G26" s="46"/>
    </row>
    <row r="27" spans="1:7" s="47" customFormat="1" ht="30" customHeight="1" thickBot="1" x14ac:dyDescent="0.3">
      <c r="A27" s="78" t="s">
        <v>5</v>
      </c>
      <c r="B27" s="162" t="s">
        <v>46</v>
      </c>
      <c r="C27" s="161"/>
      <c r="D27" s="78" t="s">
        <v>17</v>
      </c>
      <c r="E27" s="210" t="s">
        <v>18</v>
      </c>
      <c r="F27" s="211"/>
      <c r="G27" s="46"/>
    </row>
    <row r="28" spans="1:7" s="52" customFormat="1" ht="40.5" x14ac:dyDescent="0.3">
      <c r="A28" s="166" t="s">
        <v>54</v>
      </c>
      <c r="B28" s="49">
        <v>6</v>
      </c>
      <c r="C28" s="153" t="str">
        <f xml:space="preserve"> IF(B28="","",setValueToTime(B28))</f>
        <v>0h30min</v>
      </c>
      <c r="D28" s="167" t="s">
        <v>58</v>
      </c>
      <c r="E28" s="212"/>
      <c r="F28" s="213"/>
      <c r="G28" s="51"/>
    </row>
    <row r="29" spans="1:7" s="52" customFormat="1" ht="27" x14ac:dyDescent="0.3">
      <c r="A29" s="168" t="s">
        <v>59</v>
      </c>
      <c r="B29" s="54"/>
      <c r="C29" s="154" t="str">
        <f t="shared" ref="C29:C35" si="2" xml:space="preserve"> IF(B29="","",setValueToTime(B29))</f>
        <v/>
      </c>
      <c r="D29" s="169" t="s">
        <v>60</v>
      </c>
      <c r="E29" s="204"/>
      <c r="F29" s="205"/>
      <c r="G29" s="51"/>
    </row>
    <row r="30" spans="1:7" s="52" customFormat="1" x14ac:dyDescent="0.3">
      <c r="A30" s="53"/>
      <c r="B30" s="54"/>
      <c r="C30" s="154" t="str">
        <f t="shared" si="2"/>
        <v/>
      </c>
      <c r="D30" s="55"/>
      <c r="E30" s="204"/>
      <c r="F30" s="205"/>
      <c r="G30" s="51"/>
    </row>
    <row r="31" spans="1:7" s="52" customFormat="1" x14ac:dyDescent="0.3">
      <c r="A31" s="53"/>
      <c r="B31" s="54"/>
      <c r="C31" s="154" t="str">
        <f t="shared" si="2"/>
        <v/>
      </c>
      <c r="D31" s="55"/>
      <c r="E31" s="204"/>
      <c r="F31" s="205"/>
      <c r="G31" s="51"/>
    </row>
    <row r="32" spans="1:7" s="52" customFormat="1" x14ac:dyDescent="0.3">
      <c r="A32" s="54"/>
      <c r="B32" s="54"/>
      <c r="C32" s="155" t="str">
        <f t="shared" si="2"/>
        <v/>
      </c>
      <c r="D32" s="55"/>
      <c r="E32" s="204"/>
      <c r="F32" s="205"/>
      <c r="G32" s="51"/>
    </row>
    <row r="33" spans="1:7" s="52" customFormat="1" x14ac:dyDescent="0.3">
      <c r="A33" s="54"/>
      <c r="B33" s="54"/>
      <c r="C33" s="155" t="str">
        <f t="shared" si="2"/>
        <v/>
      </c>
      <c r="D33" s="55"/>
      <c r="E33" s="204"/>
      <c r="F33" s="205"/>
      <c r="G33" s="51"/>
    </row>
    <row r="34" spans="1:7" s="52" customFormat="1" x14ac:dyDescent="0.3">
      <c r="A34" s="54"/>
      <c r="B34" s="54"/>
      <c r="C34" s="155" t="str">
        <f t="shared" si="2"/>
        <v/>
      </c>
      <c r="D34" s="55"/>
      <c r="E34" s="204"/>
      <c r="F34" s="205"/>
      <c r="G34" s="51"/>
    </row>
    <row r="35" spans="1:7" s="52" customFormat="1" ht="15" thickBot="1" x14ac:dyDescent="0.35">
      <c r="A35" s="56"/>
      <c r="B35" s="56"/>
      <c r="C35" s="156" t="str">
        <f t="shared" si="2"/>
        <v/>
      </c>
      <c r="D35" s="57"/>
      <c r="E35" s="206"/>
      <c r="F35" s="207"/>
      <c r="G35" s="51"/>
    </row>
    <row r="36" spans="1:7" s="52" customFormat="1" ht="15" thickBot="1" x14ac:dyDescent="0.35">
      <c r="A36" s="163" t="s">
        <v>33</v>
      </c>
      <c r="B36" s="83">
        <f>SUM(B28:B35)</f>
        <v>6</v>
      </c>
      <c r="C36" s="163" t="str">
        <f xml:space="preserve"> setValueToTime(B36)</f>
        <v>0h30min</v>
      </c>
      <c r="D36" s="121"/>
      <c r="E36" s="208"/>
      <c r="F36" s="209"/>
      <c r="G36" s="51"/>
    </row>
    <row r="37" spans="1:7" s="59" customFormat="1" ht="15" thickBot="1" x14ac:dyDescent="0.35">
      <c r="A37" s="77"/>
      <c r="B37" s="77"/>
      <c r="C37" s="77"/>
      <c r="D37" s="77"/>
      <c r="E37" s="77"/>
      <c r="F37" s="77"/>
      <c r="G37" s="58"/>
    </row>
    <row r="38" spans="1:7" s="47" customFormat="1" ht="30" customHeight="1" thickBot="1" x14ac:dyDescent="0.3">
      <c r="A38" s="157" t="s">
        <v>16</v>
      </c>
      <c r="B38" s="165">
        <v>1</v>
      </c>
      <c r="C38" s="165"/>
      <c r="D38" s="158" t="s">
        <v>19</v>
      </c>
      <c r="E38" s="159">
        <v>45191</v>
      </c>
      <c r="F38" s="160"/>
      <c r="G38" s="46"/>
    </row>
    <row r="39" spans="1:7" s="47" customFormat="1" ht="30" customHeight="1" thickBot="1" x14ac:dyDescent="0.3">
      <c r="A39" s="78" t="s">
        <v>5</v>
      </c>
      <c r="B39" s="162" t="s">
        <v>46</v>
      </c>
      <c r="C39" s="161"/>
      <c r="D39" s="78" t="s">
        <v>17</v>
      </c>
      <c r="E39" s="210" t="s">
        <v>18</v>
      </c>
      <c r="F39" s="211"/>
      <c r="G39" s="46"/>
    </row>
    <row r="40" spans="1:7" s="52" customFormat="1" x14ac:dyDescent="0.3">
      <c r="A40" s="166" t="s">
        <v>52</v>
      </c>
      <c r="B40" s="49">
        <v>3</v>
      </c>
      <c r="C40" s="153" t="str">
        <f xml:space="preserve"> IF(B40="","",setValueToTime(B40))</f>
        <v>0h15min</v>
      </c>
      <c r="D40" s="167" t="s">
        <v>53</v>
      </c>
      <c r="E40" s="212"/>
      <c r="F40" s="213"/>
      <c r="G40" s="51"/>
    </row>
    <row r="41" spans="1:7" s="52" customFormat="1" ht="27" x14ac:dyDescent="0.3">
      <c r="A41" s="168" t="s">
        <v>50</v>
      </c>
      <c r="B41" s="54">
        <v>3</v>
      </c>
      <c r="C41" s="154" t="str">
        <f t="shared" ref="C41:C47" si="3" xml:space="preserve"> IF(B41="","",setValueToTime(B41))</f>
        <v>0h15min</v>
      </c>
      <c r="D41" s="169" t="s">
        <v>51</v>
      </c>
      <c r="E41" s="204"/>
      <c r="F41" s="205"/>
      <c r="G41" s="51"/>
    </row>
    <row r="42" spans="1:7" s="52" customFormat="1" ht="27" x14ac:dyDescent="0.3">
      <c r="A42" s="168" t="s">
        <v>54</v>
      </c>
      <c r="B42" s="54">
        <v>15</v>
      </c>
      <c r="C42" s="154" t="str">
        <f t="shared" si="3"/>
        <v>1h15min</v>
      </c>
      <c r="D42" s="169" t="s">
        <v>55</v>
      </c>
      <c r="E42" s="204"/>
      <c r="F42" s="205"/>
      <c r="G42" s="51"/>
    </row>
    <row r="43" spans="1:7" s="52" customFormat="1" x14ac:dyDescent="0.3">
      <c r="A43" s="168" t="s">
        <v>56</v>
      </c>
      <c r="B43" s="54">
        <v>12</v>
      </c>
      <c r="C43" s="154" t="str">
        <f t="shared" si="3"/>
        <v>1h</v>
      </c>
      <c r="D43" s="169" t="s">
        <v>57</v>
      </c>
      <c r="E43" s="204"/>
      <c r="F43" s="205"/>
      <c r="G43" s="51"/>
    </row>
    <row r="44" spans="1:7" s="52" customFormat="1" x14ac:dyDescent="0.3">
      <c r="A44" s="54"/>
      <c r="B44" s="54"/>
      <c r="C44" s="155" t="str">
        <f t="shared" si="3"/>
        <v/>
      </c>
      <c r="D44" s="55"/>
      <c r="E44" s="204"/>
      <c r="F44" s="205"/>
      <c r="G44" s="51"/>
    </row>
    <row r="45" spans="1:7" s="52" customFormat="1" x14ac:dyDescent="0.3">
      <c r="A45" s="54"/>
      <c r="B45" s="54"/>
      <c r="C45" s="155" t="str">
        <f t="shared" si="3"/>
        <v/>
      </c>
      <c r="D45" s="55"/>
      <c r="E45" s="204"/>
      <c r="F45" s="205"/>
      <c r="G45" s="51"/>
    </row>
    <row r="46" spans="1:7" s="52" customFormat="1" x14ac:dyDescent="0.3">
      <c r="A46" s="54"/>
      <c r="B46" s="54"/>
      <c r="C46" s="155" t="str">
        <f t="shared" si="3"/>
        <v/>
      </c>
      <c r="D46" s="55"/>
      <c r="E46" s="204"/>
      <c r="F46" s="205"/>
      <c r="G46" s="51"/>
    </row>
    <row r="47" spans="1:7" s="52" customFormat="1" ht="15" thickBot="1" x14ac:dyDescent="0.35">
      <c r="A47" s="56"/>
      <c r="B47" s="56"/>
      <c r="C47" s="156" t="str">
        <f t="shared" si="3"/>
        <v/>
      </c>
      <c r="D47" s="57"/>
      <c r="E47" s="206"/>
      <c r="F47" s="207"/>
      <c r="G47" s="51"/>
    </row>
    <row r="48" spans="1:7" s="52" customFormat="1" ht="15" thickBot="1" x14ac:dyDescent="0.35">
      <c r="A48" s="163" t="s">
        <v>33</v>
      </c>
      <c r="B48" s="83">
        <f>SUM(B40:B47)</f>
        <v>33</v>
      </c>
      <c r="C48" s="163" t="str">
        <f xml:space="preserve"> setValueToTime(B48)</f>
        <v>2h45min</v>
      </c>
      <c r="D48" s="121"/>
      <c r="E48" s="208"/>
      <c r="F48" s="209"/>
      <c r="G48" s="51"/>
    </row>
    <row r="49" spans="1:7" s="59" customFormat="1" x14ac:dyDescent="0.3">
      <c r="A49" s="77"/>
      <c r="B49" s="77"/>
      <c r="C49" s="77"/>
      <c r="D49" s="77"/>
      <c r="E49" s="77"/>
      <c r="F49" s="77"/>
      <c r="G49" s="58"/>
    </row>
  </sheetData>
  <sheetProtection formatRows="0" insertRows="0" insertHyperlinks="0" deleteRows="0" selectLockedCells="1"/>
  <mergeCells count="40">
    <mergeCell ref="E8:F8"/>
    <mergeCell ref="E9:F9"/>
    <mergeCell ref="E10:F10"/>
    <mergeCell ref="E11:F11"/>
    <mergeCell ref="E12:F12"/>
    <mergeCell ref="E3:F3"/>
    <mergeCell ref="E4:F4"/>
    <mergeCell ref="E5:F5"/>
    <mergeCell ref="E6:F6"/>
    <mergeCell ref="E7:F7"/>
    <mergeCell ref="E45:F45"/>
    <mergeCell ref="E46:F46"/>
    <mergeCell ref="E47:F47"/>
    <mergeCell ref="E48:F48"/>
    <mergeCell ref="E39:F39"/>
    <mergeCell ref="E40:F40"/>
    <mergeCell ref="E41:F41"/>
    <mergeCell ref="E42:F42"/>
    <mergeCell ref="E43:F43"/>
    <mergeCell ref="E44:F44"/>
    <mergeCell ref="E27:F27"/>
    <mergeCell ref="E28:F28"/>
    <mergeCell ref="E29:F29"/>
    <mergeCell ref="E30:F30"/>
    <mergeCell ref="E31:F31"/>
    <mergeCell ref="E32:F32"/>
    <mergeCell ref="E33:F33"/>
    <mergeCell ref="E34:F34"/>
    <mergeCell ref="E35:F35"/>
    <mergeCell ref="E36:F36"/>
    <mergeCell ref="E15:F15"/>
    <mergeCell ref="E16:F16"/>
    <mergeCell ref="E17:F17"/>
    <mergeCell ref="E18:F18"/>
    <mergeCell ref="E19:F19"/>
    <mergeCell ref="E20:F20"/>
    <mergeCell ref="E21:F21"/>
    <mergeCell ref="E22:F22"/>
    <mergeCell ref="E23:F23"/>
    <mergeCell ref="E24:F24"/>
  </mergeCells>
  <phoneticPr fontId="0" type="noConversion"/>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8 B36 B24 B12">
      <formula1>0</formula1>
      <formula2>60</formula2>
    </dataValidation>
    <dataValidation type="list" allowBlank="1" showInputMessage="1" showErrorMessage="1" sqref="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8"/>
      <c r="B10" s="188"/>
      <c r="C10" s="188"/>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c r="AI10" s="188"/>
      <c r="AJ10" s="188"/>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90"/>
    </row>
    <row r="11" spans="1:61" ht="18" x14ac:dyDescent="0.25">
      <c r="A11" s="189"/>
      <c r="B11" s="189"/>
      <c r="C11" s="189"/>
      <c r="D11" s="189"/>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90"/>
    </row>
    <row r="12" spans="1:61" ht="18.75" thickBot="1" x14ac:dyDescent="0.3">
      <c r="A12" s="190"/>
      <c r="B12" s="190"/>
      <c r="C12" s="190"/>
      <c r="D12" s="190"/>
      <c r="E12" s="190"/>
      <c r="F12" s="190"/>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90"/>
    </row>
    <row r="13" spans="1:61" ht="18.75" thickBot="1" x14ac:dyDescent="0.3">
      <c r="A13" s="172" t="s">
        <v>16</v>
      </c>
      <c r="B13" s="173"/>
      <c r="C13" s="173"/>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73"/>
      <c r="AB13" s="173"/>
      <c r="AC13" s="173"/>
      <c r="AD13" s="173"/>
      <c r="AE13" s="173"/>
      <c r="AF13" s="173"/>
      <c r="AG13" s="173"/>
      <c r="AH13" s="173"/>
      <c r="AI13" s="173"/>
      <c r="AJ13" s="173"/>
      <c r="AK13" s="173"/>
      <c r="AL13" s="173"/>
      <c r="AM13" s="173"/>
      <c r="AN13" s="173"/>
      <c r="AO13" s="173"/>
      <c r="AP13" s="173"/>
      <c r="AQ13" s="173"/>
      <c r="AR13" s="173"/>
      <c r="AS13" s="173"/>
      <c r="AT13" s="173"/>
      <c r="AU13" s="173"/>
      <c r="AV13" s="173"/>
      <c r="AW13" s="173"/>
      <c r="AX13" s="173"/>
      <c r="AY13" s="173"/>
      <c r="AZ13" s="173"/>
      <c r="BA13" s="173"/>
      <c r="BB13" s="173"/>
      <c r="BC13" s="173"/>
      <c r="BD13" s="173"/>
      <c r="BE13" s="173"/>
      <c r="BF13" s="173"/>
      <c r="BG13" s="173"/>
      <c r="BH13" s="174"/>
      <c r="BI13" s="90"/>
    </row>
    <row r="14" spans="1:61" ht="15.75" thickBot="1" x14ac:dyDescent="0.35">
      <c r="A14" s="103"/>
      <c r="B14" s="104"/>
      <c r="C14" s="104"/>
      <c r="D14" s="104"/>
      <c r="E14" s="175" t="s">
        <v>40</v>
      </c>
      <c r="F14" s="175"/>
      <c r="G14" s="175"/>
      <c r="H14" s="175"/>
      <c r="I14" s="104"/>
      <c r="J14" s="104"/>
      <c r="K14" s="176" t="s">
        <v>28</v>
      </c>
      <c r="L14" s="176"/>
      <c r="M14" s="176"/>
      <c r="N14" s="176"/>
      <c r="O14" s="129"/>
      <c r="P14" s="129"/>
      <c r="Q14" s="175" t="s">
        <v>41</v>
      </c>
      <c r="R14" s="175"/>
      <c r="S14" s="175"/>
      <c r="T14" s="175"/>
      <c r="U14" s="104"/>
      <c r="V14" s="104"/>
      <c r="W14" s="176" t="s">
        <v>29</v>
      </c>
      <c r="X14" s="176"/>
      <c r="Y14" s="176"/>
      <c r="Z14" s="176"/>
      <c r="AA14" s="129"/>
      <c r="AB14" s="129"/>
      <c r="AC14" s="175" t="s">
        <v>42</v>
      </c>
      <c r="AD14" s="175"/>
      <c r="AE14" s="175"/>
      <c r="AF14" s="175"/>
      <c r="AG14" s="104"/>
      <c r="AH14" s="104"/>
      <c r="AI14" s="176" t="s">
        <v>30</v>
      </c>
      <c r="AJ14" s="176"/>
      <c r="AK14" s="176"/>
      <c r="AL14" s="176"/>
      <c r="AM14" s="129"/>
      <c r="AN14" s="129"/>
      <c r="AO14" s="175" t="s">
        <v>43</v>
      </c>
      <c r="AP14" s="175"/>
      <c r="AQ14" s="175"/>
      <c r="AR14" s="175"/>
      <c r="AS14" s="104"/>
      <c r="AT14" s="104"/>
      <c r="AU14" s="176" t="s">
        <v>31</v>
      </c>
      <c r="AV14" s="176"/>
      <c r="AW14" s="176"/>
      <c r="AX14" s="176"/>
      <c r="AY14" s="129"/>
      <c r="AZ14" s="129"/>
      <c r="BA14" s="175" t="s">
        <v>44</v>
      </c>
      <c r="BB14" s="175"/>
      <c r="BC14" s="175"/>
      <c r="BD14" s="17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16</v>
      </c>
      <c r="B1" s="164">
        <v>1</v>
      </c>
      <c r="C1" s="164"/>
      <c r="D1" s="82" t="s">
        <v>19</v>
      </c>
      <c r="E1" s="94"/>
      <c r="F1" s="126"/>
      <c r="G1" s="46"/>
    </row>
    <row r="2" spans="1:7" s="47" customFormat="1" ht="30" customHeight="1" thickBot="1" x14ac:dyDescent="0.3">
      <c r="A2" s="80" t="s">
        <v>5</v>
      </c>
      <c r="B2" s="151" t="s">
        <v>46</v>
      </c>
      <c r="C2" s="152"/>
      <c r="D2" s="80" t="s">
        <v>17</v>
      </c>
      <c r="E2" s="216" t="s">
        <v>18</v>
      </c>
      <c r="F2" s="217"/>
      <c r="G2" s="46"/>
    </row>
    <row r="3" spans="1:7" s="52" customFormat="1" x14ac:dyDescent="0.3">
      <c r="A3" s="48"/>
      <c r="B3" s="49"/>
      <c r="C3" s="153" t="str">
        <f xml:space="preserve"> IF(B3="","",setValueToTime(B3))</f>
        <v/>
      </c>
      <c r="D3" s="50"/>
      <c r="E3" s="212"/>
      <c r="F3" s="213"/>
      <c r="G3" s="51"/>
    </row>
    <row r="4" spans="1:7" s="52" customFormat="1" x14ac:dyDescent="0.3">
      <c r="A4" s="53"/>
      <c r="B4" s="54"/>
      <c r="C4" s="154" t="str">
        <f t="shared" ref="C4:C10" si="0" xml:space="preserve"> IF(B4="","",setValueToTime(B4))</f>
        <v/>
      </c>
      <c r="D4" s="55"/>
      <c r="E4" s="204"/>
      <c r="F4" s="205"/>
      <c r="G4" s="51"/>
    </row>
    <row r="5" spans="1:7" s="52" customFormat="1" x14ac:dyDescent="0.3">
      <c r="A5" s="53"/>
      <c r="B5" s="54"/>
      <c r="C5" s="154" t="str">
        <f t="shared" si="0"/>
        <v/>
      </c>
      <c r="D5" s="55"/>
      <c r="E5" s="204"/>
      <c r="F5" s="205"/>
      <c r="G5" s="51"/>
    </row>
    <row r="6" spans="1:7" s="52" customFormat="1" x14ac:dyDescent="0.3">
      <c r="A6" s="53"/>
      <c r="B6" s="54"/>
      <c r="C6" s="154" t="str">
        <f t="shared" si="0"/>
        <v/>
      </c>
      <c r="D6" s="55"/>
      <c r="E6" s="204"/>
      <c r="F6" s="205"/>
      <c r="G6" s="51"/>
    </row>
    <row r="7" spans="1:7" s="52" customFormat="1" x14ac:dyDescent="0.3">
      <c r="A7" s="54"/>
      <c r="B7" s="54"/>
      <c r="C7" s="155" t="str">
        <f t="shared" si="0"/>
        <v/>
      </c>
      <c r="D7" s="55"/>
      <c r="E7" s="204"/>
      <c r="F7" s="205"/>
      <c r="G7" s="51"/>
    </row>
    <row r="8" spans="1:7" s="52" customFormat="1" x14ac:dyDescent="0.3">
      <c r="A8" s="54"/>
      <c r="B8" s="54"/>
      <c r="C8" s="155" t="str">
        <f t="shared" si="0"/>
        <v/>
      </c>
      <c r="D8" s="55"/>
      <c r="E8" s="204"/>
      <c r="F8" s="205"/>
      <c r="G8" s="51"/>
    </row>
    <row r="9" spans="1:7" s="52" customFormat="1" x14ac:dyDescent="0.3">
      <c r="A9" s="54"/>
      <c r="B9" s="54"/>
      <c r="C9" s="155" t="str">
        <f t="shared" si="0"/>
        <v/>
      </c>
      <c r="D9" s="55"/>
      <c r="E9" s="204"/>
      <c r="F9" s="205"/>
      <c r="G9" s="51"/>
    </row>
    <row r="10" spans="1:7" s="52" customFormat="1" ht="15" thickBot="1" x14ac:dyDescent="0.35">
      <c r="A10" s="56"/>
      <c r="B10" s="56"/>
      <c r="C10" s="156" t="str">
        <f t="shared" si="0"/>
        <v/>
      </c>
      <c r="D10" s="57"/>
      <c r="E10" s="206"/>
      <c r="F10" s="207"/>
      <c r="G10" s="51"/>
    </row>
    <row r="11" spans="1:7" s="52" customFormat="1" ht="15" thickBot="1" x14ac:dyDescent="0.35">
      <c r="A11" s="111" t="s">
        <v>33</v>
      </c>
      <c r="B11" s="84">
        <f>SUM(B3:B10)</f>
        <v>0</v>
      </c>
      <c r="C11" s="111" t="str">
        <f xml:space="preserve"> setValueToTime(B11)</f>
        <v>0h</v>
      </c>
      <c r="D11" s="120"/>
      <c r="E11" s="214"/>
      <c r="F11" s="215"/>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16</v>
      </c>
      <c r="B1" s="165">
        <v>1</v>
      </c>
      <c r="C1" s="165"/>
      <c r="D1" s="158" t="s">
        <v>19</v>
      </c>
      <c r="E1" s="159"/>
      <c r="F1" s="160"/>
      <c r="G1" s="46"/>
    </row>
    <row r="2" spans="1:7" s="47" customFormat="1" ht="30" customHeight="1" thickBot="1" x14ac:dyDescent="0.3">
      <c r="A2" s="78" t="s">
        <v>5</v>
      </c>
      <c r="B2" s="162" t="s">
        <v>46</v>
      </c>
      <c r="C2" s="161"/>
      <c r="D2" s="78" t="s">
        <v>17</v>
      </c>
      <c r="E2" s="210" t="s">
        <v>18</v>
      </c>
      <c r="F2" s="211"/>
      <c r="G2" s="46"/>
    </row>
    <row r="3" spans="1:7" s="52" customFormat="1" x14ac:dyDescent="0.3">
      <c r="A3" s="48"/>
      <c r="B3" s="49"/>
      <c r="C3" s="153" t="str">
        <f xml:space="preserve"> IF(B3="","",setValueToTime(B3))</f>
        <v/>
      </c>
      <c r="D3" s="50"/>
      <c r="E3" s="212"/>
      <c r="F3" s="213"/>
      <c r="G3" s="51"/>
    </row>
    <row r="4" spans="1:7" s="52" customFormat="1" x14ac:dyDescent="0.3">
      <c r="A4" s="53"/>
      <c r="B4" s="54"/>
      <c r="C4" s="154" t="str">
        <f t="shared" ref="C4:C10" si="0" xml:space="preserve"> IF(B4="","",setValueToTime(B4))</f>
        <v/>
      </c>
      <c r="D4" s="55"/>
      <c r="E4" s="204"/>
      <c r="F4" s="205"/>
      <c r="G4" s="51"/>
    </row>
    <row r="5" spans="1:7" s="52" customFormat="1" x14ac:dyDescent="0.3">
      <c r="A5" s="53"/>
      <c r="B5" s="54"/>
      <c r="C5" s="154" t="str">
        <f t="shared" si="0"/>
        <v/>
      </c>
      <c r="D5" s="55"/>
      <c r="E5" s="204"/>
      <c r="F5" s="205"/>
      <c r="G5" s="51"/>
    </row>
    <row r="6" spans="1:7" s="52" customFormat="1" x14ac:dyDescent="0.3">
      <c r="A6" s="53"/>
      <c r="B6" s="54"/>
      <c r="C6" s="154" t="str">
        <f t="shared" si="0"/>
        <v/>
      </c>
      <c r="D6" s="55"/>
      <c r="E6" s="204"/>
      <c r="F6" s="205"/>
      <c r="G6" s="51"/>
    </row>
    <row r="7" spans="1:7" s="52" customFormat="1" x14ac:dyDescent="0.3">
      <c r="A7" s="54"/>
      <c r="B7" s="54"/>
      <c r="C7" s="155" t="str">
        <f t="shared" si="0"/>
        <v/>
      </c>
      <c r="D7" s="55"/>
      <c r="E7" s="204"/>
      <c r="F7" s="205"/>
      <c r="G7" s="51"/>
    </row>
    <row r="8" spans="1:7" s="52" customFormat="1" x14ac:dyDescent="0.3">
      <c r="A8" s="54"/>
      <c r="B8" s="54"/>
      <c r="C8" s="155" t="str">
        <f t="shared" si="0"/>
        <v/>
      </c>
      <c r="D8" s="55"/>
      <c r="E8" s="204"/>
      <c r="F8" s="205"/>
      <c r="G8" s="51"/>
    </row>
    <row r="9" spans="1:7" s="52" customFormat="1" x14ac:dyDescent="0.3">
      <c r="A9" s="54"/>
      <c r="B9" s="54"/>
      <c r="C9" s="155" t="str">
        <f t="shared" si="0"/>
        <v/>
      </c>
      <c r="D9" s="55"/>
      <c r="E9" s="204"/>
      <c r="F9" s="205"/>
      <c r="G9" s="51"/>
    </row>
    <row r="10" spans="1:7" s="52" customFormat="1" ht="15" thickBot="1" x14ac:dyDescent="0.35">
      <c r="A10" s="56"/>
      <c r="B10" s="56"/>
      <c r="C10" s="156" t="str">
        <f t="shared" si="0"/>
        <v/>
      </c>
      <c r="D10" s="57"/>
      <c r="E10" s="206"/>
      <c r="F10" s="207"/>
      <c r="G10" s="51"/>
    </row>
    <row r="11" spans="1:7" s="52" customFormat="1" ht="15" thickBot="1" x14ac:dyDescent="0.35">
      <c r="A11" s="163" t="s">
        <v>33</v>
      </c>
      <c r="B11" s="83">
        <f>SUM(B3:B10)</f>
        <v>0</v>
      </c>
      <c r="C11" s="163" t="str">
        <f xml:space="preserve"> setValueToTime(B11)</f>
        <v>0h</v>
      </c>
      <c r="D11" s="121"/>
      <c r="E11" s="208"/>
      <c r="F11" s="20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7" ma:contentTypeDescription="Create a new document." ma:contentTypeScope="" ma:versionID="44e9824ebb565de66444c38a3e4d43df">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116547854b50e63cb554ca1e0163811c"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45E113D-91EC-428D-9BCA-71A4025400A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5EF8A5FE-70ED-419D-A655-40044EB0B08E}">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TimoAlbert Rouwenhorst</dc:creator>
  <cp:lastModifiedBy>TimoAlbert Rouwenhorst</cp:lastModifiedBy>
  <cp:lastPrinted>2019-05-08T10:31:53Z</cp:lastPrinted>
  <dcterms:created xsi:type="dcterms:W3CDTF">1996-10-21T11:03:58Z</dcterms:created>
  <dcterms:modified xsi:type="dcterms:W3CDTF">2023-10-06T09:25:08Z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